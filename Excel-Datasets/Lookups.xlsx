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st\Excel\"/>
    </mc:Choice>
  </mc:AlternateContent>
  <xr:revisionPtr revIDLastSave="0" documentId="13_ncr:1_{A0BFAF7E-111D-41CD-94F5-855F2F45AC8B}" xr6:coauthVersionLast="47" xr6:coauthVersionMax="47" xr10:uidLastSave="{00000000-0000-0000-0000-000000000000}"/>
  <bookViews>
    <workbookView xWindow="-108" yWindow="-108" windowWidth="23256" windowHeight="12456" activeTab="2" xr2:uid="{6CBC528C-F8DA-494B-908E-6A5B1CD75E53}"/>
  </bookViews>
  <sheets>
    <sheet name="vlookup" sheetId="1" r:id="rId1"/>
    <sheet name="hlookup" sheetId="2" r:id="rId2"/>
    <sheet name="xlookup" sheetId="3" r:id="rId3"/>
    <sheet name="Practice" sheetId="4" r:id="rId4"/>
    <sheet name="Eg1.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3" l="1"/>
  <c r="B13" i="3"/>
  <c r="H9" i="3"/>
  <c r="G9" i="2"/>
  <c r="G8" i="2"/>
  <c r="D12" i="5"/>
  <c r="C12" i="5"/>
  <c r="B12" i="5"/>
  <c r="H5" i="5"/>
  <c r="C9" i="5"/>
  <c r="B9" i="5"/>
  <c r="C11" i="4"/>
  <c r="B11" i="4"/>
  <c r="B10" i="4"/>
  <c r="H4" i="4"/>
  <c r="B9" i="4"/>
  <c r="B8" i="4"/>
  <c r="G10" i="2"/>
  <c r="H3" i="1"/>
  <c r="G3" i="1"/>
  <c r="E1" i="1"/>
  <c r="G12" i="2" l="1"/>
  <c r="G11" i="2"/>
</calcChain>
</file>

<file path=xl/sharedStrings.xml><?xml version="1.0" encoding="utf-8"?>
<sst xmlns="http://schemas.openxmlformats.org/spreadsheetml/2006/main" count="117" uniqueCount="48">
  <si>
    <t>Employee ID</t>
  </si>
  <si>
    <t>Name</t>
  </si>
  <si>
    <t>Department</t>
  </si>
  <si>
    <t>Salary</t>
  </si>
  <si>
    <t>Amit</t>
  </si>
  <si>
    <t>IT</t>
  </si>
  <si>
    <t>Neha</t>
  </si>
  <si>
    <t>HR</t>
  </si>
  <si>
    <t>Ravi</t>
  </si>
  <si>
    <t>Finance</t>
  </si>
  <si>
    <t>Marketing</t>
  </si>
  <si>
    <t>Tania</t>
  </si>
  <si>
    <t>employeename</t>
  </si>
  <si>
    <t>department</t>
  </si>
  <si>
    <t>Month</t>
  </si>
  <si>
    <t>Jan</t>
  </si>
  <si>
    <t>Feb</t>
  </si>
  <si>
    <t>Mar</t>
  </si>
  <si>
    <t>Apr</t>
  </si>
  <si>
    <t>Sales</t>
  </si>
  <si>
    <t>month</t>
  </si>
  <si>
    <t>Profit</t>
  </si>
  <si>
    <t>Loss</t>
  </si>
  <si>
    <t>EmpId</t>
  </si>
  <si>
    <t>neha</t>
  </si>
  <si>
    <t>rahul</t>
  </si>
  <si>
    <t>priya</t>
  </si>
  <si>
    <t>suresh</t>
  </si>
  <si>
    <t>Task: Find Department using Empid (Xloopup)</t>
  </si>
  <si>
    <t>Empid</t>
  </si>
  <si>
    <t>Formula</t>
  </si>
  <si>
    <t>Result</t>
  </si>
  <si>
    <t>John</t>
  </si>
  <si>
    <t>Emma</t>
  </si>
  <si>
    <t>David</t>
  </si>
  <si>
    <t>Sophia</t>
  </si>
  <si>
    <t>Michael</t>
  </si>
  <si>
    <t>Eg1.</t>
  </si>
  <si>
    <t>Eg2.</t>
  </si>
  <si>
    <t>Eg3.</t>
  </si>
  <si>
    <t>Eg4.</t>
  </si>
  <si>
    <t>Eg5.</t>
  </si>
  <si>
    <t>G</t>
  </si>
  <si>
    <t>H</t>
  </si>
  <si>
    <t>I</t>
  </si>
  <si>
    <t>J</t>
  </si>
  <si>
    <t>net</t>
  </si>
  <si>
    <t>Profit/loss/null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</si>
</sst>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Georgia"/>
      <family val="1"/>
    </font>
    <font>
      <sz val="10"/>
      <color rgb="FF000000"/>
      <name val="Georgia"/>
      <family val="1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D6EF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2" xfId="0" applyFill="1" applyBorder="1"/>
    <xf numFmtId="0" fontId="3" fillId="4" borderId="2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5" borderId="2" xfId="0" applyFill="1" applyBorder="1"/>
    <xf numFmtId="0" fontId="1" fillId="2" borderId="2" xfId="0" applyFont="1" applyFill="1" applyBorder="1" applyAlignment="1">
      <alignment horizontal="left" vertical="center" wrapText="1" indent="1"/>
    </xf>
    <xf numFmtId="0" fontId="0" fillId="0" borderId="2" xfId="0" applyBorder="1"/>
    <xf numFmtId="0" fontId="0" fillId="0" borderId="2" xfId="0" applyBorder="1" applyAlignment="1">
      <alignment horizontal="right"/>
    </xf>
  </cellXfs>
  <cellStyles count="1">
    <cellStyle name="Normal" xfId="0" builtinId="0"/>
  </cellStyles>
  <dxfs count="27"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B4B864-F50F-4804-A2BB-B9376B963E82}" name="Table1" displayName="Table1" ref="A1:D6" totalsRowShown="0" headerRowDxfId="26" dataDxfId="25">
  <autoFilter ref="A1:D6" xr:uid="{B5B4B864-F50F-4804-A2BB-B9376B963E82}"/>
  <tableColumns count="4">
    <tableColumn id="1" xr3:uid="{F672650F-D435-4909-9612-D478D14E1DF3}" name="Employee ID" dataDxfId="24"/>
    <tableColumn id="2" xr3:uid="{CF7363BC-F747-4A38-8CF9-02036DD52D76}" name="Name" dataDxfId="23"/>
    <tableColumn id="3" xr3:uid="{A3574880-888F-4E3F-9B04-B32E864D110F}" name="Department" dataDxfId="22"/>
    <tableColumn id="4" xr3:uid="{2A4F3DC7-DAFF-4279-B598-7436565CDC3A}" name="Salary" dataDxfId="2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2963F5-8102-46DC-887F-3CE339F7F632}" name="Table2" displayName="Table2" ref="G1:J3" totalsRowShown="0" headerRowDxfId="20" dataDxfId="19">
  <autoFilter ref="G1:J3" xr:uid="{D72963F5-8102-46DC-887F-3CE339F7F632}"/>
  <tableColumns count="4">
    <tableColumn id="1" xr3:uid="{F331D185-D893-47C0-A452-355272DDE6EA}" name="G" dataDxfId="18"/>
    <tableColumn id="2" xr3:uid="{36AC2407-A1C5-41B4-9883-94B926BAF7A1}" name="H" dataDxfId="17"/>
    <tableColumn id="3" xr3:uid="{B74B0D94-B399-4072-A70B-D956AE8BF3BF}" name="I" dataDxfId="16"/>
    <tableColumn id="4" xr3:uid="{9B8C8D67-FDB8-4FB9-887F-A2CCF0ABF3A1}" name="J" dataDxfId="1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677D-D722-4FCC-A01A-81A5C88F24D1}">
  <dimension ref="A1:H5"/>
  <sheetViews>
    <sheetView workbookViewId="0">
      <selection activeCell="F3" sqref="F3"/>
    </sheetView>
  </sheetViews>
  <sheetFormatPr defaultRowHeight="14.4" x14ac:dyDescent="0.3"/>
  <cols>
    <col min="1" max="1" width="14.88671875" bestFit="1" customWidth="1"/>
    <col min="2" max="2" width="7.77734375" bestFit="1" customWidth="1"/>
    <col min="3" max="3" width="14.33203125" bestFit="1" customWidth="1"/>
    <col min="6" max="6" width="13.44140625" bestFit="1" customWidth="1"/>
    <col min="7" max="7" width="11.88671875" bestFit="1" customWidth="1"/>
  </cols>
  <sheetData>
    <row r="1" spans="1:8" ht="2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t="str">
        <f>VLOOKUP("Tania",B2:D5,1)</f>
        <v>Tania</v>
      </c>
    </row>
    <row r="2" spans="1:8" ht="27" thickBot="1" x14ac:dyDescent="0.35">
      <c r="A2" s="2">
        <v>101</v>
      </c>
      <c r="B2" s="2" t="s">
        <v>4</v>
      </c>
      <c r="C2" s="2" t="s">
        <v>5</v>
      </c>
      <c r="D2" s="2">
        <v>55000</v>
      </c>
      <c r="F2" t="s">
        <v>12</v>
      </c>
      <c r="G2" s="3" t="s">
        <v>13</v>
      </c>
      <c r="H2" s="3" t="s">
        <v>3</v>
      </c>
    </row>
    <row r="3" spans="1:8" ht="15" thickBot="1" x14ac:dyDescent="0.35">
      <c r="A3" s="2">
        <v>102</v>
      </c>
      <c r="B3" s="2" t="s">
        <v>6</v>
      </c>
      <c r="C3" s="2" t="s">
        <v>7</v>
      </c>
      <c r="D3" s="2">
        <v>45000</v>
      </c>
      <c r="F3" t="s">
        <v>11</v>
      </c>
      <c r="G3" t="str">
        <f>VLOOKUP(F3,B2:D5,2)</f>
        <v>Marketing</v>
      </c>
      <c r="H3">
        <f>VLOOKUP(F3,B2:D5,3)</f>
        <v>50000</v>
      </c>
    </row>
    <row r="4" spans="1:8" ht="15" thickBot="1" x14ac:dyDescent="0.35">
      <c r="A4" s="2">
        <v>103</v>
      </c>
      <c r="B4" s="2" t="s">
        <v>8</v>
      </c>
      <c r="C4" s="2" t="s">
        <v>9</v>
      </c>
      <c r="D4" s="2">
        <v>60000</v>
      </c>
    </row>
    <row r="5" spans="1:8" ht="15" thickBot="1" x14ac:dyDescent="0.35">
      <c r="A5" s="2">
        <v>104</v>
      </c>
      <c r="B5" s="2" t="s">
        <v>11</v>
      </c>
      <c r="C5" s="2" t="s">
        <v>10</v>
      </c>
      <c r="D5" s="2">
        <v>50000</v>
      </c>
    </row>
  </sheetData>
  <dataValidations count="1">
    <dataValidation type="list" showInputMessage="1" showErrorMessage="1" sqref="F3" xr:uid="{67A2F250-323A-4608-9C61-62B589685A62}">
      <formula1>$B$2:$B$5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2974-9EAA-475C-9C57-C83B32BCBFFA}">
  <dimension ref="A1:G12"/>
  <sheetViews>
    <sheetView workbookViewId="0">
      <selection activeCell="F20" sqref="F20"/>
    </sheetView>
  </sheetViews>
  <sheetFormatPr defaultRowHeight="14.4" x14ac:dyDescent="0.3"/>
  <cols>
    <col min="1" max="1" width="8.77734375" bestFit="1" customWidth="1"/>
    <col min="6" max="6" width="17.88671875" bestFit="1" customWidth="1"/>
  </cols>
  <sheetData>
    <row r="1" spans="1:7" ht="15" thickBot="1" x14ac:dyDescent="0.35">
      <c r="A1" s="1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7" ht="15" thickBot="1" x14ac:dyDescent="0.35">
      <c r="A2" s="1" t="s">
        <v>19</v>
      </c>
      <c r="B2" s="2">
        <v>5000</v>
      </c>
      <c r="C2" s="2">
        <v>7000</v>
      </c>
      <c r="D2" s="2">
        <v>6000</v>
      </c>
      <c r="E2" s="2">
        <v>9000</v>
      </c>
    </row>
    <row r="3" spans="1:7" ht="15" thickBot="1" x14ac:dyDescent="0.35">
      <c r="A3" s="1" t="s">
        <v>21</v>
      </c>
      <c r="B3" s="2">
        <v>2500</v>
      </c>
      <c r="C3" s="2">
        <v>3500</v>
      </c>
      <c r="D3" s="2">
        <v>4500</v>
      </c>
      <c r="E3" s="2">
        <v>3200</v>
      </c>
    </row>
    <row r="4" spans="1:7" ht="15" thickBot="1" x14ac:dyDescent="0.35">
      <c r="A4" s="1" t="s">
        <v>22</v>
      </c>
      <c r="B4" s="2">
        <v>2500</v>
      </c>
      <c r="C4" s="2">
        <v>3500</v>
      </c>
      <c r="D4" s="2">
        <v>2500</v>
      </c>
      <c r="E4" s="2">
        <v>5800</v>
      </c>
    </row>
    <row r="7" spans="1:7" x14ac:dyDescent="0.3">
      <c r="F7" s="11" t="s">
        <v>20</v>
      </c>
      <c r="G7" s="11" t="s">
        <v>18</v>
      </c>
    </row>
    <row r="8" spans="1:7" x14ac:dyDescent="0.3">
      <c r="F8" s="11" t="s">
        <v>19</v>
      </c>
      <c r="G8" s="12">
        <f>HLOOKUP(G7,A1:E2,2,FALSE)</f>
        <v>9000</v>
      </c>
    </row>
    <row r="9" spans="1:7" x14ac:dyDescent="0.3">
      <c r="F9" s="11" t="s">
        <v>21</v>
      </c>
      <c r="G9" s="12">
        <f>HLOOKUP(G7,A1:E4,3,FALSE)</f>
        <v>3200</v>
      </c>
    </row>
    <row r="10" spans="1:7" x14ac:dyDescent="0.3">
      <c r="F10" s="11" t="s">
        <v>22</v>
      </c>
      <c r="G10" s="12">
        <f>HLOOKUP(G7,A1:E4,4,FALSE)</f>
        <v>5800</v>
      </c>
    </row>
    <row r="11" spans="1:7" ht="26.4" x14ac:dyDescent="0.3">
      <c r="F11" s="11" t="s">
        <v>47</v>
      </c>
      <c r="G11" s="13" t="str">
        <f>IF(G9=G10,"Null",IF(G9&gt;G10,"Profit","Loss"))</f>
        <v>Loss</v>
      </c>
    </row>
    <row r="12" spans="1:7" x14ac:dyDescent="0.3">
      <c r="F12" s="11" t="s">
        <v>46</v>
      </c>
      <c r="G12" s="13">
        <f>ABS(G9-G10)</f>
        <v>2600</v>
      </c>
    </row>
  </sheetData>
  <conditionalFormatting sqref="G8:G12">
    <cfRule type="expression" dxfId="5" priority="3">
      <formula>$G$11="null"</formula>
    </cfRule>
    <cfRule type="expression" dxfId="3" priority="2">
      <formula>$G$11="loss"</formula>
    </cfRule>
    <cfRule type="expression" dxfId="4" priority="1">
      <formula>$G$11="profit"</formula>
    </cfRule>
  </conditionalFormatting>
  <dataValidations count="1">
    <dataValidation type="list" showInputMessage="1" showErrorMessage="1" sqref="G7" xr:uid="{2EB6EF66-33E1-4560-AD7C-BA98CE208D0D}">
      <formula1>$B$1:$E$1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6061-AC83-4DAF-B330-245B37807FD0}">
  <dimension ref="A1:J13"/>
  <sheetViews>
    <sheetView tabSelected="1" workbookViewId="0">
      <selection activeCell="C13" sqref="C13"/>
    </sheetView>
  </sheetViews>
  <sheetFormatPr defaultRowHeight="14.4" x14ac:dyDescent="0.3"/>
  <cols>
    <col min="9" max="9" width="10.5546875" bestFit="1" customWidth="1"/>
  </cols>
  <sheetData>
    <row r="1" spans="1:10" ht="15" thickBot="1" x14ac:dyDescent="0.35">
      <c r="A1" t="s">
        <v>23</v>
      </c>
      <c r="B1" t="s">
        <v>1</v>
      </c>
      <c r="C1" t="s">
        <v>2</v>
      </c>
      <c r="D1" t="s">
        <v>3</v>
      </c>
      <c r="F1" s="1" t="s">
        <v>14</v>
      </c>
      <c r="G1" s="4" t="s">
        <v>15</v>
      </c>
      <c r="H1" s="4" t="s">
        <v>16</v>
      </c>
      <c r="I1" s="4" t="s">
        <v>17</v>
      </c>
      <c r="J1" s="4" t="s">
        <v>18</v>
      </c>
    </row>
    <row r="2" spans="1:10" ht="15" thickBot="1" x14ac:dyDescent="0.35">
      <c r="A2">
        <v>101</v>
      </c>
      <c r="B2" t="s">
        <v>4</v>
      </c>
      <c r="C2" t="s">
        <v>7</v>
      </c>
      <c r="D2">
        <v>35000</v>
      </c>
      <c r="F2" s="1" t="s">
        <v>19</v>
      </c>
      <c r="G2" s="2">
        <v>5000</v>
      </c>
      <c r="H2" s="2">
        <v>7000</v>
      </c>
      <c r="I2" s="2">
        <v>6000</v>
      </c>
      <c r="J2" s="2">
        <v>9000</v>
      </c>
    </row>
    <row r="3" spans="1:10" ht="15" thickBot="1" x14ac:dyDescent="0.35">
      <c r="A3">
        <v>102</v>
      </c>
      <c r="B3" t="s">
        <v>24</v>
      </c>
      <c r="C3" t="s">
        <v>5</v>
      </c>
      <c r="D3">
        <v>45000</v>
      </c>
      <c r="F3" s="1" t="s">
        <v>21</v>
      </c>
      <c r="G3" s="2">
        <v>2500</v>
      </c>
      <c r="H3" s="2">
        <v>3500</v>
      </c>
      <c r="I3" s="2">
        <v>4500</v>
      </c>
      <c r="J3" s="2">
        <v>3200</v>
      </c>
    </row>
    <row r="4" spans="1:10" ht="15" thickBot="1" x14ac:dyDescent="0.35">
      <c r="A4">
        <v>103</v>
      </c>
      <c r="B4" t="s">
        <v>25</v>
      </c>
      <c r="C4" t="s">
        <v>9</v>
      </c>
      <c r="D4">
        <v>50000</v>
      </c>
      <c r="F4" s="1" t="s">
        <v>22</v>
      </c>
      <c r="G4" s="2">
        <v>2500</v>
      </c>
      <c r="H4" s="2">
        <v>3500</v>
      </c>
      <c r="I4" s="2">
        <v>4500</v>
      </c>
      <c r="J4" s="2">
        <v>5800</v>
      </c>
    </row>
    <row r="5" spans="1:10" x14ac:dyDescent="0.3">
      <c r="A5">
        <v>104</v>
      </c>
      <c r="B5" t="s">
        <v>26</v>
      </c>
      <c r="C5" t="s">
        <v>5</v>
      </c>
      <c r="D5">
        <v>48000</v>
      </c>
    </row>
    <row r="6" spans="1:10" x14ac:dyDescent="0.3">
      <c r="A6">
        <v>105</v>
      </c>
      <c r="B6" t="s">
        <v>27</v>
      </c>
      <c r="C6" t="s">
        <v>19</v>
      </c>
      <c r="D6">
        <v>40000</v>
      </c>
    </row>
    <row r="8" spans="1:10" x14ac:dyDescent="0.3">
      <c r="A8" t="s">
        <v>28</v>
      </c>
      <c r="G8" t="s">
        <v>20</v>
      </c>
      <c r="H8" t="s">
        <v>19</v>
      </c>
    </row>
    <row r="9" spans="1:10" x14ac:dyDescent="0.3">
      <c r="A9" t="s">
        <v>29</v>
      </c>
      <c r="G9" t="s">
        <v>18</v>
      </c>
      <c r="H9">
        <f>_xlfn.XLOOKUP(G9,G1:J1,G2:J2,"Not Found")</f>
        <v>9000</v>
      </c>
    </row>
    <row r="10" spans="1:10" x14ac:dyDescent="0.3">
      <c r="A10" t="s">
        <v>30</v>
      </c>
      <c r="B10" t="s">
        <v>31</v>
      </c>
    </row>
    <row r="12" spans="1:10" x14ac:dyDescent="0.3">
      <c r="B12" t="s">
        <v>2</v>
      </c>
      <c r="C12" t="s">
        <v>3</v>
      </c>
    </row>
    <row r="13" spans="1:10" x14ac:dyDescent="0.3">
      <c r="A13" t="s">
        <v>4</v>
      </c>
      <c r="B13" t="str">
        <f>_xlfn.XLOOKUP(A13,B2:B6,C2:C6)</f>
        <v>HR</v>
      </c>
      <c r="C13">
        <f>_xlfn.XLOOKUP(B13,C2:C6,D2:D6)</f>
        <v>35000</v>
      </c>
    </row>
  </sheetData>
  <dataValidations count="2">
    <dataValidation type="list" showInputMessage="1" showErrorMessage="1" sqref="G9" xr:uid="{999D9B7F-E8A6-43FA-8811-9486604B8C9C}">
      <formula1>$G$1:$J$1</formula1>
    </dataValidation>
    <dataValidation type="list" allowBlank="1" showInputMessage="1" showErrorMessage="1" sqref="A13" xr:uid="{E95D715C-2B58-42FD-BFD6-46B4008381EE}">
      <formula1>$B$2:$B$6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33B6-8576-44BA-A6F8-0CCB1CFEF3C6}">
  <dimension ref="A1:K11"/>
  <sheetViews>
    <sheetView workbookViewId="0">
      <selection activeCell="B11" sqref="B11"/>
    </sheetView>
  </sheetViews>
  <sheetFormatPr defaultRowHeight="14.4" x14ac:dyDescent="0.3"/>
  <cols>
    <col min="1" max="1" width="11.109375" customWidth="1"/>
    <col min="3" max="3" width="12.109375" customWidth="1"/>
  </cols>
  <sheetData>
    <row r="1" spans="1:11" ht="28.8" x14ac:dyDescent="0.3">
      <c r="A1" s="5" t="s">
        <v>0</v>
      </c>
      <c r="B1" s="5" t="s">
        <v>1</v>
      </c>
      <c r="C1" s="5" t="s">
        <v>2</v>
      </c>
      <c r="D1" s="5" t="s">
        <v>3</v>
      </c>
      <c r="F1" s="5" t="s">
        <v>0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</row>
    <row r="2" spans="1:11" x14ac:dyDescent="0.3">
      <c r="A2" s="6">
        <v>101</v>
      </c>
      <c r="B2" s="6" t="s">
        <v>32</v>
      </c>
      <c r="C2" s="6" t="s">
        <v>7</v>
      </c>
      <c r="D2" s="6">
        <v>45000</v>
      </c>
      <c r="F2" s="6">
        <v>101</v>
      </c>
      <c r="G2" s="6" t="s">
        <v>19</v>
      </c>
      <c r="H2" s="6">
        <v>5000</v>
      </c>
      <c r="I2" s="6">
        <v>7000</v>
      </c>
      <c r="J2" s="6">
        <v>6000</v>
      </c>
      <c r="K2" s="6">
        <v>9000</v>
      </c>
    </row>
    <row r="3" spans="1:11" x14ac:dyDescent="0.3">
      <c r="A3" s="6">
        <v>102</v>
      </c>
      <c r="B3" s="6" t="s">
        <v>33</v>
      </c>
      <c r="C3" s="6" t="s">
        <v>5</v>
      </c>
      <c r="D3" s="6">
        <v>55000</v>
      </c>
      <c r="F3" s="6">
        <v>102</v>
      </c>
    </row>
    <row r="4" spans="1:11" x14ac:dyDescent="0.3">
      <c r="A4" s="6">
        <v>103</v>
      </c>
      <c r="B4" s="6" t="s">
        <v>34</v>
      </c>
      <c r="C4" s="6" t="s">
        <v>9</v>
      </c>
      <c r="D4" s="6">
        <v>60000</v>
      </c>
      <c r="F4" s="6">
        <v>103</v>
      </c>
      <c r="G4" t="s">
        <v>39</v>
      </c>
      <c r="H4">
        <f>HLOOKUP("Mar",G1:J2,2,FALSE)</f>
        <v>6000</v>
      </c>
    </row>
    <row r="5" spans="1:11" x14ac:dyDescent="0.3">
      <c r="A5" s="6">
        <v>104</v>
      </c>
      <c r="B5" s="6" t="s">
        <v>35</v>
      </c>
      <c r="C5" s="6" t="s">
        <v>10</v>
      </c>
      <c r="D5" s="6">
        <v>50000</v>
      </c>
      <c r="F5" s="6">
        <v>104</v>
      </c>
    </row>
    <row r="6" spans="1:11" x14ac:dyDescent="0.3">
      <c r="A6" s="6">
        <v>105</v>
      </c>
      <c r="B6" s="6" t="s">
        <v>36</v>
      </c>
      <c r="C6" s="6" t="s">
        <v>19</v>
      </c>
      <c r="D6" s="6">
        <v>65000</v>
      </c>
      <c r="F6" s="6">
        <v>105</v>
      </c>
    </row>
    <row r="8" spans="1:11" x14ac:dyDescent="0.3">
      <c r="A8" t="s">
        <v>37</v>
      </c>
      <c r="B8" t="str">
        <f>VLOOKUP(102,A2:D6,3,FALSE)</f>
        <v>IT</v>
      </c>
    </row>
    <row r="9" spans="1:11" x14ac:dyDescent="0.3">
      <c r="A9" t="s">
        <v>38</v>
      </c>
      <c r="B9">
        <f>VLOOKUP(104,A2:D6,4,FALSE)</f>
        <v>50000</v>
      </c>
    </row>
    <row r="10" spans="1:11" x14ac:dyDescent="0.3">
      <c r="A10" t="s">
        <v>40</v>
      </c>
      <c r="B10" t="str">
        <f>_xlfn.XLOOKUP(101,A2:A6,B2:B6)</f>
        <v>John</v>
      </c>
    </row>
    <row r="11" spans="1:11" x14ac:dyDescent="0.3">
      <c r="A11" t="s">
        <v>41</v>
      </c>
      <c r="B11" t="str">
        <f>_xlfn.XLOOKUP(110,A2:A6,B2:B6,"Not Found")</f>
        <v>Not Found</v>
      </c>
      <c r="C11" t="str">
        <f>_xlfn.XLOOKUP(F2,A2:A6,B2:B6,"Not Found")</f>
        <v>John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8D17-AE2D-494C-9229-661C2BCEABA7}">
  <dimension ref="A1:J12"/>
  <sheetViews>
    <sheetView workbookViewId="0">
      <selection activeCell="F9" sqref="F9"/>
    </sheetView>
  </sheetViews>
  <sheetFormatPr defaultRowHeight="14.4" x14ac:dyDescent="0.3"/>
  <cols>
    <col min="1" max="1" width="15.77734375" bestFit="1" customWidth="1"/>
    <col min="2" max="2" width="11" bestFit="1" customWidth="1"/>
    <col min="3" max="3" width="15.44140625" bestFit="1" customWidth="1"/>
    <col min="4" max="4" width="10.6640625" bestFit="1" customWidth="1"/>
    <col min="7" max="8" width="6.77734375" bestFit="1" customWidth="1"/>
    <col min="9" max="9" width="6" bestFit="1" customWidth="1"/>
    <col min="10" max="10" width="6.109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G1" s="5" t="s">
        <v>42</v>
      </c>
      <c r="H1" s="5" t="s">
        <v>43</v>
      </c>
      <c r="I1" s="5" t="s">
        <v>44</v>
      </c>
      <c r="J1" s="5" t="s">
        <v>45</v>
      </c>
    </row>
    <row r="2" spans="1:10" x14ac:dyDescent="0.3">
      <c r="A2" s="6">
        <v>101</v>
      </c>
      <c r="B2" s="6" t="s">
        <v>32</v>
      </c>
      <c r="C2" s="6" t="s">
        <v>7</v>
      </c>
      <c r="D2" s="6">
        <v>45000</v>
      </c>
      <c r="G2" s="6" t="s">
        <v>15</v>
      </c>
      <c r="H2" s="6" t="s">
        <v>16</v>
      </c>
      <c r="I2" s="6" t="s">
        <v>17</v>
      </c>
      <c r="J2" s="6" t="s">
        <v>18</v>
      </c>
    </row>
    <row r="3" spans="1:10" x14ac:dyDescent="0.3">
      <c r="A3" s="6">
        <v>102</v>
      </c>
      <c r="B3" s="6" t="s">
        <v>33</v>
      </c>
      <c r="C3" s="6" t="s">
        <v>5</v>
      </c>
      <c r="D3" s="6">
        <v>55000</v>
      </c>
      <c r="G3" s="6">
        <v>5000</v>
      </c>
      <c r="H3" s="6">
        <v>7000</v>
      </c>
      <c r="I3" s="6">
        <v>6000</v>
      </c>
      <c r="J3" s="6">
        <v>9000</v>
      </c>
    </row>
    <row r="4" spans="1:10" x14ac:dyDescent="0.3">
      <c r="A4" s="6">
        <v>103</v>
      </c>
      <c r="B4" s="6" t="s">
        <v>34</v>
      </c>
      <c r="C4" s="6" t="s">
        <v>9</v>
      </c>
      <c r="D4" s="6">
        <v>60000</v>
      </c>
    </row>
    <row r="5" spans="1:10" x14ac:dyDescent="0.3">
      <c r="A5" s="6">
        <v>104</v>
      </c>
      <c r="B5" s="6" t="s">
        <v>35</v>
      </c>
      <c r="C5" s="6" t="s">
        <v>10</v>
      </c>
      <c r="D5" s="6">
        <v>50000</v>
      </c>
      <c r="G5" s="9" t="s">
        <v>42</v>
      </c>
      <c r="H5" s="9">
        <f>HLOOKUP(G5,$G$1:$J$3,3,FALSE)</f>
        <v>5000</v>
      </c>
    </row>
    <row r="6" spans="1:10" x14ac:dyDescent="0.3">
      <c r="A6" s="6">
        <v>105</v>
      </c>
      <c r="B6" s="6" t="s">
        <v>36</v>
      </c>
      <c r="C6" s="6" t="s">
        <v>19</v>
      </c>
      <c r="D6" s="6">
        <v>65000</v>
      </c>
    </row>
    <row r="8" spans="1:10" ht="28.8" x14ac:dyDescent="0.3">
      <c r="A8" s="7"/>
      <c r="B8" s="8" t="s">
        <v>2</v>
      </c>
      <c r="C8" s="8" t="s">
        <v>3</v>
      </c>
    </row>
    <row r="9" spans="1:10" x14ac:dyDescent="0.3">
      <c r="A9" s="7">
        <v>102</v>
      </c>
      <c r="B9" s="7" t="str">
        <f>VLOOKUP(A9,$A$2:$D$6,3,FALSE)</f>
        <v>IT</v>
      </c>
      <c r="C9" s="7">
        <f>VLOOKUP(A9,$A$2:$D$6,4,FALSE)</f>
        <v>55000</v>
      </c>
    </row>
    <row r="11" spans="1:10" x14ac:dyDescent="0.3">
      <c r="A11" s="10"/>
      <c r="B11" s="10" t="s">
        <v>1</v>
      </c>
      <c r="C11" s="10" t="s">
        <v>2</v>
      </c>
      <c r="D11" s="10" t="s">
        <v>3</v>
      </c>
    </row>
    <row r="12" spans="1:10" x14ac:dyDescent="0.3">
      <c r="A12" s="10">
        <v>104</v>
      </c>
      <c r="B12" s="10" t="str">
        <f>_xlfn.XLOOKUP(A12,$A$2:$A$6,$B$2:$B$6)</f>
        <v>Sophia</v>
      </c>
      <c r="C12" s="10" t="str">
        <f>_xlfn.XLOOKUP(A12,$A$2:$A$6,$C$2:$C$6)</f>
        <v>Marketing</v>
      </c>
      <c r="D12" s="10">
        <f>_xlfn.XLOOKUP(A12,$A$2:$A$6,$D$2:$D$6)</f>
        <v>50000</v>
      </c>
    </row>
  </sheetData>
  <dataValidations count="2">
    <dataValidation type="list" allowBlank="1" showInputMessage="1" showErrorMessage="1" sqref="A9 A12" xr:uid="{FC5397B6-F157-4E18-8592-398133755593}">
      <formula1>$A$2:$A$6</formula1>
    </dataValidation>
    <dataValidation type="list" allowBlank="1" showInputMessage="1" showErrorMessage="1" sqref="G5" xr:uid="{4BA4FA18-0D74-4877-B314-30E5C79EC113}">
      <formula1>$G$1:$J$1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vlookup</vt:lpstr>
      <vt:lpstr>hlookup</vt:lpstr>
      <vt:lpstr>xlookup</vt:lpstr>
      <vt:lpstr>Practice</vt:lpstr>
      <vt:lpstr>Eg1.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SHAH</dc:creator>
  <cp:lastModifiedBy>SAUMYA SHAH</cp:lastModifiedBy>
  <dcterms:created xsi:type="dcterms:W3CDTF">2026-06-16T12:11:20Z</dcterms:created>
  <dcterms:modified xsi:type="dcterms:W3CDTF">2026-06-17T07:17:54Z</dcterms:modified>
</cp:coreProperties>
</file>