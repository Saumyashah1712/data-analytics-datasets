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ata Analyst\Projects\Excel - Dashboard\"/>
    </mc:Choice>
  </mc:AlternateContent>
  <xr:revisionPtr revIDLastSave="0" documentId="13_ncr:1_{4EBE1DA3-FABD-4B06-9D06-06A55F536DC9}" xr6:coauthVersionLast="47" xr6:coauthVersionMax="47" xr10:uidLastSave="{00000000-0000-0000-0000-000000000000}"/>
  <bookViews>
    <workbookView xWindow="-96" yWindow="0" windowWidth="11388" windowHeight="12336" firstSheet="1" activeTab="1" xr2:uid="{00000000-000D-0000-FFFF-FFFF00000000}"/>
  </bookViews>
  <sheets>
    <sheet name="Data 1" sheetId="1" r:id="rId1"/>
    <sheet name="Data 2" sheetId="2" r:id="rId2"/>
    <sheet name="Data 3" sheetId="3" r:id="rId3"/>
    <sheet name="Data 4" sheetId="4" r:id="rId4"/>
    <sheet name="Data 5" sheetId="5" r:id="rId5"/>
    <sheet name="Data 6" sheetId="6" r:id="rId6"/>
    <sheet name="Data 7" sheetId="7" r:id="rId7"/>
    <sheet name="Data 8" sheetId="8" r:id="rId8"/>
    <sheet name="Data 9" sheetId="9" r:id="rId9"/>
    <sheet name="Data 10" sheetId="10" r:id="rId10"/>
    <sheet name="Data 11" sheetId="11" r:id="rId11"/>
    <sheet name="Data 12" sheetId="12" r:id="rId12"/>
    <sheet name="Data 13" sheetId="13" r:id="rId13"/>
    <sheet name="Data 14" sheetId="14" r:id="rId14"/>
    <sheet name="Data 15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2" l="1"/>
  <c r="R2" i="2"/>
  <c r="R3" i="2"/>
  <c r="R4" i="2"/>
  <c r="R5" i="2"/>
  <c r="R6" i="2"/>
  <c r="R7" i="2"/>
  <c r="R8" i="2"/>
  <c r="R9" i="2"/>
  <c r="R10" i="2"/>
  <c r="R11" i="2"/>
  <c r="D15" i="2"/>
  <c r="D16" i="2"/>
  <c r="D17" i="2"/>
  <c r="D18" i="2"/>
  <c r="D14" i="2"/>
  <c r="C15" i="2"/>
  <c r="C16" i="2"/>
  <c r="C17" i="2"/>
  <c r="C18" i="2"/>
  <c r="C14" i="2"/>
  <c r="B15" i="2"/>
  <c r="B16" i="2"/>
  <c r="B17" i="2"/>
  <c r="B18" i="2"/>
  <c r="B14" i="2"/>
  <c r="Q2" i="2"/>
  <c r="Q3" i="2"/>
  <c r="Q4" i="2"/>
  <c r="Q5" i="2"/>
  <c r="Q6" i="2"/>
  <c r="Q7" i="2"/>
  <c r="Q8" i="2"/>
  <c r="Q9" i="2"/>
  <c r="Q10" i="2"/>
  <c r="Q11" i="2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<sst xmlns="http://schemas.openxmlformats.org/spreadsheetml/2006/main" count="3026" uniqueCount="1258">
  <si>
    <t xml:space="preserve">Insitute id </t>
  </si>
  <si>
    <t>Name</t>
  </si>
  <si>
    <t xml:space="preserve">City </t>
  </si>
  <si>
    <t>State</t>
  </si>
  <si>
    <t>Score</t>
  </si>
  <si>
    <t>Rank</t>
  </si>
  <si>
    <t>College name</t>
  </si>
  <si>
    <t>IR-C-C-6377</t>
  </si>
  <si>
    <t>Hindu CollegeMore DetailsClose |  | TLR (100)RPC (100)GO (100)OI (100)PERCEPTION (100)86.0066.9288.9077.3596.08</t>
  </si>
  <si>
    <t>Delhi</t>
  </si>
  <si>
    <t>IR-C-C-6355</t>
  </si>
  <si>
    <t>Miranda HouseMore DetailsClose |  | TLR (100)RPC (100)GO (100)OI (100)PERCEPTION (100)83.4869.0988.9884.7987.30</t>
  </si>
  <si>
    <t>IR-C-C-6425</t>
  </si>
  <si>
    <t>Hans Raj CollegeMore DetailsClose |  | TLR (100)RPC (100)GO (100)OI (100)PERCEPTION (100)85.0096.3170.6577.8178.61</t>
  </si>
  <si>
    <t>IR-C-C-6385</t>
  </si>
  <si>
    <t>Kirori Mal CollegeMore DetailsClose |  | TLR (100)RPC (100)GO (100)OI (100)PERCEPTION (100)86.6779.6583.6173.7854.29</t>
  </si>
  <si>
    <t>IR-C-C-22470</t>
  </si>
  <si>
    <t>St. Stephens's CollegeMore DetailsClose |  | TLR (100)RPC (100)GO (100)OI (100)PERCEPTION (100)82.2745.9691.2374.9093.15</t>
  </si>
  <si>
    <t>IR-C-I-1317</t>
  </si>
  <si>
    <t>Rama Krishna Mission Vivekananda Centenary CollegeMore DetailsClose |  | TLR (100)RPC (100)GO (100)OI (100)PERCEPTION (100)80.5773.0493.3455.0547.04</t>
  </si>
  <si>
    <t>Kolkata</t>
  </si>
  <si>
    <t>West Bengal</t>
  </si>
  <si>
    <t>IR-C-C-22462</t>
  </si>
  <si>
    <t>Atma Ram Sanatan Dharm CollegeMore DetailsClose |  | TLR (100)RPC (100)GO (100)OI (100)PERCEPTION (100)74.2896.3680.1470.9747.98</t>
  </si>
  <si>
    <t>New Delhi</t>
  </si>
  <si>
    <t>IR-C-C-11881</t>
  </si>
  <si>
    <t>St. Xavier`s CollegeMore DetailsClose |  | TLR (100)RPC (100)GO (100)OI (100)PERCEPTION (100)75.2268.8388.1658.6277.56</t>
  </si>
  <si>
    <t>IR-C-C-41046</t>
  </si>
  <si>
    <t>PSGR Krishnammal College for WomenMore DetailsClose |  | TLR (100)RPC (100)GO (100)OI (100)PERCEPTION (100)79.8260.4982.4968.8270.25</t>
  </si>
  <si>
    <t>Coimbatore</t>
  </si>
  <si>
    <t>Tamil Nadu</t>
  </si>
  <si>
    <t>IR-C-C-41124</t>
  </si>
  <si>
    <t>PSG College of Arts and ScienceMore DetailsClose |  | TLR (100)RPC (100)GO (100)OI (100)PERCEPTION (100)73.4474.0073.5653.4489.42</t>
  </si>
  <si>
    <t>IR-C-C-6369</t>
  </si>
  <si>
    <t>Sri Venkateswara CollegeMore DetailsClose |  | TLR (100)RPC (100)GO (100)OI (100)PERCEPTION (100)79.3782.1775.0273.2624.47</t>
  </si>
  <si>
    <t>IR-C-C-11691</t>
  </si>
  <si>
    <t>Rajagiri College of Social SciencesMore DetailsClose |  | TLR (100)RPC (100)GO (100)OI (100)PERCEPTION (100)81.8975.4976.3560.5625.01</t>
  </si>
  <si>
    <t>Ernakulam</t>
  </si>
  <si>
    <t>Kerala</t>
  </si>
  <si>
    <t>IR-C-C-6409</t>
  </si>
  <si>
    <t>Deshbandhu CollegeMore DetailsClose |  | TLR (100)RPC (100)GO (100)OI (100)PERCEPTION (100)69.7584.6985.3666.0627.11</t>
  </si>
  <si>
    <t>IR-C-C-44006</t>
  </si>
  <si>
    <t>Loyola CollegeMore DetailsClose |  | TLR (100)RPC (100)GO (100)OI (100)PERCEPTION (100)63.7094.7166.8248.3199.10</t>
  </si>
  <si>
    <t>Chennai</t>
  </si>
  <si>
    <t>IR-C-C-43921</t>
  </si>
  <si>
    <t>Presidency CollegeMore DetailsClose |  | TLR (100)RPC (100)GO (100)OI (100)PERCEPTION (100)78.4459.4668.5954.0477.71</t>
  </si>
  <si>
    <t>IR-C-C-43965</t>
  </si>
  <si>
    <t>Madras Christian CollegeMore DetailsClose |  | TLR (100)RPC (100)GO (100)OI (100)PERCEPTION (100)74.8569.8765.4358.4879.35</t>
  </si>
  <si>
    <t>IR-C-C-6415</t>
  </si>
  <si>
    <t>Lady Shri Ram College For WomenMore DetailsClose |  | TLR (100)RPC (100)GO (100)OI (100)PERCEPTION (100)61.0329.4194.6973.78100.00</t>
  </si>
  <si>
    <t>IR-C-C-6419</t>
  </si>
  <si>
    <t>Shri Ram College of CommerceMore DetailsClose |  | TLR (100)RPC (100)GO (100)OI (100)PERCEPTION (100)68.7316.3695.9178.2172.72</t>
  </si>
  <si>
    <t>IR-C-C-11926</t>
  </si>
  <si>
    <t>Ramakrishna Mission VidyamandiraMore DetailsClose |  | TLR (100)RPC (100)GO (100)OI (100)PERCEPTION (100)79.6958.6487.5834.7629.59</t>
  </si>
  <si>
    <t>Howrah</t>
  </si>
  <si>
    <t>IR-C-C-36513</t>
  </si>
  <si>
    <t>Thiagarajar CollegeMore DetailsClose |  | TLR (100)RPC (100)GO (100)OI (100)PERCEPTION (100)75.6870.2178.0053.5232.83</t>
  </si>
  <si>
    <t>Madurai</t>
  </si>
  <si>
    <t>IR-C-C-6380</t>
  </si>
  <si>
    <t>Acharya Narendra Dev CollegeMore DetailsClose |  | TLR (100)RPC (100)GO (100)OI (100)PERCEPTION (100)71.9385.9868.8564.7428.61</t>
  </si>
  <si>
    <t>IR-C-C-41157</t>
  </si>
  <si>
    <t>V.O. Chidambaram CollegeMore DetailsClose |  | TLR (100)RPC (100)GO (100)OI (100)PERCEPTION (100)75.9171.9077.1757.7510.35</t>
  </si>
  <si>
    <t>Thoothukudi</t>
  </si>
  <si>
    <t>IR-C-C-43671</t>
  </si>
  <si>
    <t>University College, ThiruvananthapuramMore DetailsClose |  | TLR (100)RPC (100)GO (100)OI (100)PERCEPTION (100)76.5663.3075.0954.8328.12</t>
  </si>
  <si>
    <t>Thiruvananthapuram</t>
  </si>
  <si>
    <t>IR-C-C-42814</t>
  </si>
  <si>
    <t>Ramakrishna Mission Residential CollegeMore DetailsClose |  | TLR (100)RPC (100)GO (100)OI (100)PERCEPTION (100)77.7745.5088.5033.5234.14</t>
  </si>
  <si>
    <t>IR-C-C-35860</t>
  </si>
  <si>
    <t>St. Joseph's College, TiruchirappalliMore DetailsClose |  | TLR (100)RPC (100)GO (100)OI (100)PERCEPTION (100)71.4560.6977.8349.3945.09</t>
  </si>
  <si>
    <t>Tiruchirappalli</t>
  </si>
  <si>
    <t>IR-C-C-6367</t>
  </si>
  <si>
    <t>Daulat Ram CollegeMore DetailsClose |  | TLR (100)RPC (100)GO (100)OI (100)PERCEPTION (100)72.7434.1873.7274.6044.42</t>
  </si>
  <si>
    <t>IR-C-C-6361</t>
  </si>
  <si>
    <t>Deen Dayal Upadhyaya CollegeMore DetailsClose |  | TLR (100)RPC (100)GO (100)OI (100)PERCEPTION (100)62.0780.3065.6471.1637.86</t>
  </si>
  <si>
    <t>IR-C-C-6371</t>
  </si>
  <si>
    <t>Ramjas CollegeMore DetailsClose |  | TLR (100)RPC (100)GO (100)OI (100)PERCEPTION (100)68.2275.7462.5471.5323.92</t>
  </si>
  <si>
    <t>IR-C-C-6353</t>
  </si>
  <si>
    <t>Sri Guru Tegh Bahadur Khalsa CollegeMore DetailsClose |  | TLR (100)RPC (100)GO (100)OI (100)PERCEPTION (100)80.3948.5565.9063.819.58</t>
  </si>
  <si>
    <t>IR-C-C-6376</t>
  </si>
  <si>
    <t>Delhi College of Arts &amp; CommerceMore DetailsClose |  | TLR (100)RPC (100)GO (100)OI (100)PERCEPTION (100)75.4910.8783.8065.1038.25</t>
  </si>
  <si>
    <t>South West</t>
  </si>
  <si>
    <t>IR-C-C-27608</t>
  </si>
  <si>
    <t>Lady Irwin CollegeMore DetailsClose |  | TLR (100)RPC (100)GO (100)OI (100)PERCEPTION (100)70.9541.3069.4863.5245.75</t>
  </si>
  <si>
    <t>IR-C-C-6413</t>
  </si>
  <si>
    <t>Sri Guru Gobind Singh College of CommerceMore DetailsClose |  | TLR (100)RPC (100)GO (100)OI (100)PERCEPTION (100)74.5710.1994.2568.318.79</t>
  </si>
  <si>
    <t>IR-C-C-6429</t>
  </si>
  <si>
    <t>Gargi CollegeMore DetailsClose |  | TLR (100)RPC (100)GO (100)OI (100)PERCEPTION (100)66.6746.5568.8971.6844.42</t>
  </si>
  <si>
    <t>IR-C-C-20653</t>
  </si>
  <si>
    <t>Kristu Jayanti CollegeMore DetailsClose |  | TLR (100)RPC (100)GO (100)OI (100)PERCEPTION (100)77.8734.7368.9370.9316.05</t>
  </si>
  <si>
    <t>Bengaluru</t>
  </si>
  <si>
    <t>Karnataka</t>
  </si>
  <si>
    <t>IR-C-C-29284</t>
  </si>
  <si>
    <t>Govt Home Science CollegeMore DetailsClose |  | TLR (100)RPC (100)GO (100)OI (100)PERCEPTION (100)74.7818.0483.8468.0518.00</t>
  </si>
  <si>
    <t>Chandigarh</t>
  </si>
  <si>
    <t>IR-C-C-6432</t>
  </si>
  <si>
    <t>Dyal Singh CollegeMore DetailsClose |  | TLR (100)RPC (100)GO (100)OI (100)PERCEPTION (100)68.0556.3173.2162.8117.36</t>
  </si>
  <si>
    <t>IR-C-C-6431</t>
  </si>
  <si>
    <t>Ramanujan CollegeMore DetailsClose |  | TLR (100)RPC (100)GO (100)OI (100)PERCEPTION (100)67.9637.0481.7471.9314.70</t>
  </si>
  <si>
    <t>IR-C-C-6391</t>
  </si>
  <si>
    <t>Maitreyi CollegeMore DetailsClose |  | TLR (100)RPC (100)GO (100)OI (100)PERCEPTION (100)64.4449.5381.8569.9011.85</t>
  </si>
  <si>
    <t>IR-C-C-6421</t>
  </si>
  <si>
    <t>Shaheed Bhagat Singh CollegeMore DetailsClose |  | TLR (100)RPC (100)GO (100)OI (100)PERCEPTION (100)69.0250.4375.9666.697.18</t>
  </si>
  <si>
    <t>IR-C-C-35868</t>
  </si>
  <si>
    <t>Dhanalakshmi Srinivasan College of Arts &amp; Science for WomenMore DetailsClose |  | TLR (100)RPC (100)GO (100)OI (100)PERCEPTION (100)80.8016.3575.4762.4616.05</t>
  </si>
  <si>
    <t>Perambalur</t>
  </si>
  <si>
    <t>IR-C-C-43931</t>
  </si>
  <si>
    <t>Stella Maris College for WomenMore DetailsClose |  | TLR (100)RPC (100)GO (100)OI (100)PERCEPTION (100)61.8155.9866.6561.1653.48</t>
  </si>
  <si>
    <t>IR-C-C-19103</t>
  </si>
  <si>
    <t>Midnapore CollegeMore DetailsClose |  | TLR (100)RPC (100)GO (100)OI (100)PERCEPTION (100)71.9455.2467.9357.1414.70</t>
  </si>
  <si>
    <t>Midnapore</t>
  </si>
  <si>
    <t>IR-C-C-6357</t>
  </si>
  <si>
    <t>Shyam Lal CollegeMore DetailsClose |  | TLR (100)RPC (100)GO (100)OI (100)PERCEPTION (100)71.2935.7580.3267.212.84</t>
  </si>
  <si>
    <t>IR-C-C-11708</t>
  </si>
  <si>
    <t>Sacred Heart CollegeMore DetailsClose |  | TLR (100)RPC (100)GO (100)OI (100)PERCEPTION (100)70.5046.6776.3956.757.99</t>
  </si>
  <si>
    <t>Kochi</t>
  </si>
  <si>
    <t>IR-C-C-6387</t>
  </si>
  <si>
    <t>Bhaskaracharya College of Applied SciencesMore DetailsClose |  | TLR (100)RPC (100)GO (100)OI (100)PERCEPTION (100)64.5387.9957.7352.8814.70</t>
  </si>
  <si>
    <t>IR-C-C-35825</t>
  </si>
  <si>
    <t>Bishop Heber CollegeMore DetailsClose |  | TLR (100)RPC (100)GO (100)OI (100)PERCEPTION (100)63.9753.4272.6547.9936.25</t>
  </si>
  <si>
    <t>IR-C-C-11971</t>
  </si>
  <si>
    <t>Lady Brabourne CollegeMore DetailsClose |  | TLR (100)RPC (100)GO (100)OI (100)PERCEPTION (100)70.3345.5266.2354.9731.47</t>
  </si>
  <si>
    <t>KOLKATA</t>
  </si>
  <si>
    <t>IR-C-C-41173</t>
  </si>
  <si>
    <t>St. Xavier's College, PalayamkottaiMore DetailsClose |  | TLR (100)RPC (100)GO (100)OI (100)PERCEPTION (100)67.3057.8269.8050.6720.47</t>
  </si>
  <si>
    <t>Palayamkottai</t>
  </si>
  <si>
    <t>IR-C-C-8308</t>
  </si>
  <si>
    <t>Pachhunga University CollegeMore DetailsClose |  | TLR (100)RPC (100)GO (100)OI (100)PERCEPTION (100)66.0074.5064.2653.478.79</t>
  </si>
  <si>
    <t>Aizawl</t>
  </si>
  <si>
    <t>Mizoram</t>
  </si>
  <si>
    <t>IR-C-C-41126</t>
  </si>
  <si>
    <t>Sri Krishna Arts and Science CollegeMore DetailsClose |  | TLR (100)RPC (100)GO (100)OI (100)PERCEPTION (100)71.4915.1985.4660.2114.70</t>
  </si>
  <si>
    <t>IR-C-C-6502</t>
  </si>
  <si>
    <t>Kanchi Mamunivar Govt. Institute for Postgraduate Studies and ResearchMore DetailsClose |  | TLR (100)RPC (100)GO (100)OI (100)PERCEPTION (100)60.1461.4183.5246.277.99</t>
  </si>
  <si>
    <t>PUDUCHERRY</t>
  </si>
  <si>
    <t>Pondicherry</t>
  </si>
  <si>
    <t>IR-C-C-35787</t>
  </si>
  <si>
    <t>Holy Cross College, TiruchirappalliMore DetailsClose |  | TLR (100)RPC (100)GO (100)OI (100)PERCEPTION (100)69.1132.8878.7854.6417.36</t>
  </si>
  <si>
    <t>IR-C-C-8169</t>
  </si>
  <si>
    <t>St. Thomas College, ThrissurMore DetailsClose |  | TLR (100)RPC (100)GO (100)OI (100)PERCEPTION (100)66.8645.1779.2854.813.74</t>
  </si>
  <si>
    <t>Thrissur</t>
  </si>
  <si>
    <t>IR-C-C-43705</t>
  </si>
  <si>
    <t>Govt. College for Women, ThiruvananthapuramMore DetailsClose |  | TLR (100)RPC (100)GO (100)OI (100)PERCEPTION (100)74.4550.8959.2353.6614.01</t>
  </si>
  <si>
    <t>IR-C-C-43964</t>
  </si>
  <si>
    <t>Madras School of Social WorkMore DetailsClose |  | TLR (100)RPC (100)GO (100)OI (100)PERCEPTION (100)70.745.8479.3353.6545.42</t>
  </si>
  <si>
    <t>IR-C-C-11831</t>
  </si>
  <si>
    <t>St Berchmans College (Autonomous), Changanacherry, KeralaMore DetailsClose |  | TLR (100)RPC (100)GO (100)OI (100)PERCEPTION (100)64.0269.4667.5648.276.34</t>
  </si>
  <si>
    <t>Kottayam</t>
  </si>
  <si>
    <t>IR-C-I-1385</t>
  </si>
  <si>
    <t>Fergusson College (Autonomous)More DetailsClose |  | TLR (100)RPC (100)GO (100)OI (100)PERCEPTION (100)52.9326.9276.3652.9987.54</t>
  </si>
  <si>
    <t>Pune</t>
  </si>
  <si>
    <t>Maharashtra</t>
  </si>
  <si>
    <t>IR-C-C-6417</t>
  </si>
  <si>
    <t>Kamala Nehru CollegeMore DetailsClose |  | TLR (100)RPC (100)GO (100)OI (100)PERCEPTION (100)59.4015.6389.3875.4522.23</t>
  </si>
  <si>
    <t>IR-C-C-36547</t>
  </si>
  <si>
    <t>The American CollegeMore DetailsClose |  | TLR (100)RPC (100)GO (100)OI (100)PERCEPTION (100)72.2443.0557.3045.7738.64</t>
  </si>
  <si>
    <t>IR-C-C-11582</t>
  </si>
  <si>
    <t>St. Teresa's College, ErnakulamMore DetailsClose |  | TLR (100)RPC (100)GO (100)OI (100)PERCEPTION (100)75.8414.3474.4058.049.58</t>
  </si>
  <si>
    <t>IR-C-C-43767</t>
  </si>
  <si>
    <t>Mar Ivanios College, ThiruvananthapuramMore DetailsClose |  | TLR (100)RPC (100)GO (100)OI (100)PERCEPTION (100)64.6558.8169.0353.524.63</t>
  </si>
  <si>
    <t>IR-C-N-6</t>
  </si>
  <si>
    <t>Queen Mary`s CollegeMore DetailsClose |  | TLR (100)RPC (100)GO (100)OI (100)PERCEPTION (100)65.4934.2474.1358.2519.87</t>
  </si>
  <si>
    <t>IR-C-C-41154</t>
  </si>
  <si>
    <t>Nesamony Memorial Christian College, Marthandam, Kanyakumari Dist.More DetailsClose |  | TLR (100)RPC (100)GO (100)OI (100)PERCEPTION (100)69.8768.5655.7255.120.00</t>
  </si>
  <si>
    <t>Marthandam</t>
  </si>
  <si>
    <t>IR-C-C-43902</t>
  </si>
  <si>
    <t>Ethiraj College for WomenMore DetailsClose |  | TLR (100)RPC (100)GO (100)OI (100)PERCEPTION (100)65.4219.3168.9253.4460.01</t>
  </si>
  <si>
    <t>IR-C-C-6426</t>
  </si>
  <si>
    <t>Shaheed Rajguru College of Applied Sciences for WomenMore DetailsClose |  | TLR (100)RPC (100)GO (100)OI (100)PERCEPTION (100)64.3653.9666.3869.831.91</t>
  </si>
  <si>
    <t>IR-C-C-41054</t>
  </si>
  <si>
    <t>Dr. N. G. P. Arts and Science CollegeMore DetailsClose |  | TLR (100)RPC (100)GO (100)OI (100)PERCEPTION (100)69.3536.0869.9053.9215.38</t>
  </si>
  <si>
    <t>IR-C-C-20729</t>
  </si>
  <si>
    <t>M S Ramaiah College of Arts, Science, and CommerceMore DetailsClose |  | TLR (100)RPC (100)GO (100)OI (100)PERCEPTION (100)60.6625.4581.6560.8729.10</t>
  </si>
  <si>
    <t>IR-C-C-41035</t>
  </si>
  <si>
    <t>Government Arts CollegeMore DetailsClose |  | TLR (100)RPC (100)GO (100)OI (100)PERCEPTION (100)70.7122.5770.3853.6828.61</t>
  </si>
  <si>
    <t>IR-C-C-6366</t>
  </si>
  <si>
    <t>Shivaji CollegeMore DetailsClose |  | TLR (100)RPC (100)GO (100)OI (100)PERCEPTION (100)55.8863.3376.8361.362.84</t>
  </si>
  <si>
    <t>IR-C-I-1373</t>
  </si>
  <si>
    <t>Goswami Ganesh Dutta S.D. CollegeMore DetailsClose |  | TLR (100)RPC (100)GO (100)OI (100)PERCEPTION (100)53.6135.9582.3673.9926.07</t>
  </si>
  <si>
    <t>IR-C-C-35848</t>
  </si>
  <si>
    <t>Government Arts CollegeMore DetailsClose |  | TLR (100)RPC (100)GO (100)OI (100)PERCEPTION (100)70.3224.3780.1354.790.00</t>
  </si>
  <si>
    <t>Kumbakonam</t>
  </si>
  <si>
    <t>IR-C-C-36579</t>
  </si>
  <si>
    <t>Ayya Nadar Janaki Ammal CollegeMore DetailsClose |  | TLR (100)RPC (100)GO (100)OI (100)PERCEPTION (100)66.3045.1566.0851.2423.37</t>
  </si>
  <si>
    <t>Sivakasi</t>
  </si>
  <si>
    <t>IR-C-C-16897</t>
  </si>
  <si>
    <t>St. Aloysius CollegeMore DetailsClose |  | TLR (100)RPC (100)GO (100)OI (100)PERCEPTION (100)71.1320.2166.1073.0918.64</t>
  </si>
  <si>
    <t>Mangaluru</t>
  </si>
  <si>
    <t>IR-C-C-8010</t>
  </si>
  <si>
    <t>St. Joseph’s College, DevagiriMore DetailsClose |  | TLR (100)RPC (100)GO (100)OI (100)PERCEPTION (100)70.3334.7469.8453.697.18</t>
  </si>
  <si>
    <t>Kozhikode</t>
  </si>
  <si>
    <t>IR-C-C-11697</t>
  </si>
  <si>
    <t>Maharaja's College, ErnakulamMore DetailsClose |  | TLR (100)RPC (100)GO (100)OI (100)PERCEPTION (100)74.6928.7460.9956.1618.00</t>
  </si>
  <si>
    <t>IR-C-C-28526</t>
  </si>
  <si>
    <t>Alagappa Government Arts College, KaraikudiMore DetailsClose |  | TLR (100)RPC (100)GO (100)OI (100)PERCEPTION (100)63.3535.1368.8247.8541.99</t>
  </si>
  <si>
    <t>Karaikudi</t>
  </si>
  <si>
    <t>IR-C-C-41100</t>
  </si>
  <si>
    <t>Sri Ramakrishna College of Arts and ScienceMore DetailsClose |  | TLR (100)RPC (100)GO (100)OI (100)PERCEPTION (100)71.5430.4261.0857.3526.07</t>
  </si>
  <si>
    <t>IR-C-C-8008</t>
  </si>
  <si>
    <t>Vimala College, ThrissurMore DetailsClose |  | TLR (100)RPC (100)GO (100)OI (100)PERCEPTION (100)74.2915.1073.3961.600.97</t>
  </si>
  <si>
    <t>IR-C-C-35846</t>
  </si>
  <si>
    <t>Rajah Serfoji Government College, Thanjavur - 613 005.More DetailsClose |  | TLR (100)RPC (100)GO (100)OI (100)PERCEPTION (100)61.7951.3574.3754.620.97</t>
  </si>
  <si>
    <t>Thanjavur</t>
  </si>
  <si>
    <t>IR-C-C-36411</t>
  </si>
  <si>
    <t>Sacred Heart College (Autonomous)More DetailsClose |  | TLR (100)RPC (100)GO (100)OI (100)PERCEPTION (100)61.6975.4055.5653.3013.30</t>
  </si>
  <si>
    <t>Tirupattur</t>
  </si>
  <si>
    <t>IR-C-C-9552</t>
  </si>
  <si>
    <t>Sri Sarada College for Women(Autonomous)More DetailsClose |  | TLR (100)RPC (100)GO (100)OI (100)PERCEPTION (100)68.1535.8169.4253.0711.85</t>
  </si>
  <si>
    <t>Salem</t>
  </si>
  <si>
    <t>IR-C-C-8023</t>
  </si>
  <si>
    <t>Farook College, KozhikkodeMore DetailsClose |  | TLR (100)RPC (100)GO (100)OI (100)PERCEPTION (100)66.0136.3169.4964.241.91</t>
  </si>
  <si>
    <t>IR-C-I-1322</t>
  </si>
  <si>
    <t>St. Joseph's CollegeMore DetailsClose |  | TLR (100)RPC (100)GO (100)OI (100)PERCEPTION (100)65.4819.0382.3259.122.84</t>
  </si>
  <si>
    <t>IR-C-C-35832</t>
  </si>
  <si>
    <t>Jamal Mohamed College, TiruchirappalliMore DetailsClose |  | TLR (100)RPC (100)GO (100)OI (100)PERCEPTION (100)68.2943.6060.2450.8116.71</t>
  </si>
  <si>
    <t>IR-C-C-6420</t>
  </si>
  <si>
    <t>Jesus &amp; Mary CollegeMore DetailsClose |  | TLR (100)RPC (100)GO (100)OI (100)PERCEPTION (100)61.1311.7778.1968.3730.54</t>
  </si>
  <si>
    <t>IR-C-C-11771</t>
  </si>
  <si>
    <t>CMS College KottayamMore DetailsClose |  | TLR (100)RPC (100)GO (100)OI (100)PERCEPTION (100)66.2740.7154.6953.5239.41</t>
  </si>
  <si>
    <t>IR-C-C-8213</t>
  </si>
  <si>
    <t>Christ College (Autonomous)More DetailsClose |  | TLR (100)RPC (100)GO (100)OI (100)PERCEPTION (100)70.1930.8662.5156.3015.38</t>
  </si>
  <si>
    <t>IR-C-C-41140</t>
  </si>
  <si>
    <t>A.P.C. Mahalaxmi College for WomenMore DetailsClose |  | TLR (100)RPC (100)GO (100)OI (100)PERCEPTION (100)69.8215.7473.6059.537.99</t>
  </si>
  <si>
    <t>Thoothukkudi</t>
  </si>
  <si>
    <t>IR-C-C-33555</t>
  </si>
  <si>
    <t>St. Xavier`s CollegeMore DetailsClose |  | TLR (100)RPC (100)GO (100)OI (100)PERCEPTION (100)54.1732.5072.1754.7750.97</t>
  </si>
  <si>
    <t>Mumbai</t>
  </si>
  <si>
    <t>IR-C-C-6358</t>
  </si>
  <si>
    <t>Ram Lal Anand CollegeMore DetailsClose |  | TLR (100)RPC (100)GO (100)OI (100)PERCEPTION (100)67.7725.2069.9765.261.91</t>
  </si>
  <si>
    <t>IR-C-C-43968</t>
  </si>
  <si>
    <t>DG Vaishnav CollegeMore DetailsClose |  | TLR (100)RPC (100)GO (100)OI (100)PERCEPTION (100)59.6943.9170.5646.4622.80</t>
  </si>
  <si>
    <t>IR-C-C-11815</t>
  </si>
  <si>
    <t>Mar Athanasius CollegeMore DetailsClose |  | TLR (100)RPC (100)GO (100)OI (100)PERCEPTION (100)70.1131.2164.9854.555.49</t>
  </si>
  <si>
    <t>Kothamangalam</t>
  </si>
  <si>
    <t>IR-C-C-43229</t>
  </si>
  <si>
    <t>Shri Shivaji Science College , Morshi Road , Amravati.More DetailsClose |  | TLR (100)RPC (100)GO (100)OI (100)PERCEPTION (100)67.5027.0873.5248.574.63</t>
  </si>
  <si>
    <t>Amravati</t>
  </si>
  <si>
    <t>IR-C-I-1293</t>
  </si>
  <si>
    <t>Sri Ramakrishna Mission Vidyalaya College of Arts and ScienceMore DetailsClose |  | TLR (100)RPC (100)GO (100)OI (100)PERCEPTION (100)60.3181.8461.647.9820.47</t>
  </si>
  <si>
    <t>IR-C-C-6381</t>
  </si>
  <si>
    <t>Keshav MahavidyalyaMore DetailsClose |  | TLR (100)RPC (100)GO (100)OI (100)PERCEPTION (100)65.3844.8962.7555.824.63</t>
  </si>
  <si>
    <t>IR-C-C-11742</t>
  </si>
  <si>
    <t>Union Christian CollegeMore DetailsClose |  | TLR (100)RPC (100)GO (100)OI (100)PERCEPTION (100)63.1130.3175.7153.684.63</t>
  </si>
  <si>
    <t>IR-C-C-22467</t>
  </si>
  <si>
    <t>PGDAV CollegeMore DetailsClose |  | TLR (100)RPC (100)GO (100)OI (100)PERCEPTION (100)67.6039.6560.0657.197.99</t>
  </si>
  <si>
    <t>IR-C-C-20830</t>
  </si>
  <si>
    <t>St. Joseph`s College of CommerceMore DetailsClose |  | TLR (100)RPC (100)GO (100)OI (100)PERCEPTION (100)64.190.6078.9166.3723.37</t>
  </si>
  <si>
    <t>IR-C-C-43646</t>
  </si>
  <si>
    <t>Government College, AttingalMore DetailsClose |  | TLR (100)RPC (100)GO (100)OI (100)PERCEPTION (100)66.144.8684.4656.644.63</t>
  </si>
  <si>
    <t>IR-C-C-36529</t>
  </si>
  <si>
    <t>Fatima CollegeMore DetailsClose |  | TLR (100)RPC (100)GO (100)OI (100)PERCEPTION (100)64.3132.6464.2356.5920.47</t>
  </si>
  <si>
    <t>Asia</t>
  </si>
  <si>
    <t>India</t>
  </si>
  <si>
    <t>Electronics</t>
  </si>
  <si>
    <t>Mobile</t>
  </si>
  <si>
    <t>iPhone 14</t>
  </si>
  <si>
    <t>Male</t>
  </si>
  <si>
    <t>EMI</t>
  </si>
  <si>
    <t>Online</t>
  </si>
  <si>
    <t>Laptop</t>
  </si>
  <si>
    <t>Dell Inspiron</t>
  </si>
  <si>
    <t>Female</t>
  </si>
  <si>
    <t>Credit Card</t>
  </si>
  <si>
    <t>Offline</t>
  </si>
  <si>
    <t>Bangalore</t>
  </si>
  <si>
    <t>Home Appliances</t>
  </si>
  <si>
    <t>Washing Machine</t>
  </si>
  <si>
    <t>LG Front Load</t>
  </si>
  <si>
    <t>Cash</t>
  </si>
  <si>
    <t>Europe</t>
  </si>
  <si>
    <t>Germany</t>
  </si>
  <si>
    <t>Bavaria</t>
  </si>
  <si>
    <t>Munich</t>
  </si>
  <si>
    <t>Samsung S23</t>
  </si>
  <si>
    <t>Debit Card</t>
  </si>
  <si>
    <t>North America</t>
  </si>
  <si>
    <t>USA</t>
  </si>
  <si>
    <t>California</t>
  </si>
  <si>
    <t>Los Angeles</t>
  </si>
  <si>
    <t>Furniture</t>
  </si>
  <si>
    <t>Chair</t>
  </si>
  <si>
    <t>Office Chair</t>
  </si>
  <si>
    <t>Tablet</t>
  </si>
  <si>
    <t>iPad Air</t>
  </si>
  <si>
    <t>UK</t>
  </si>
  <si>
    <t>England</t>
  </si>
  <si>
    <t>London</t>
  </si>
  <si>
    <t>Microwave</t>
  </si>
  <si>
    <t>Samsung Oven</t>
  </si>
  <si>
    <t>Texas</t>
  </si>
  <si>
    <t>Dallas</t>
  </si>
  <si>
    <t>OnePlus 11</t>
  </si>
  <si>
    <t>Table</t>
  </si>
  <si>
    <t>Dining Table</t>
  </si>
  <si>
    <t>HP Pavilion</t>
  </si>
  <si>
    <t>OrderID</t>
  </si>
  <si>
    <t>OrderDate</t>
  </si>
  <si>
    <t>Region</t>
  </si>
  <si>
    <t>Country</t>
  </si>
  <si>
    <t>City</t>
  </si>
  <si>
    <t>Category</t>
  </si>
  <si>
    <t>SubCategory</t>
  </si>
  <si>
    <t>Product</t>
  </si>
  <si>
    <t>Sales</t>
  </si>
  <si>
    <t>Quantity</t>
  </si>
  <si>
    <t>Discount</t>
  </si>
  <si>
    <t>Profit</t>
  </si>
  <si>
    <t>CustomerGender</t>
  </si>
  <si>
    <t>PaymentMode</t>
  </si>
  <si>
    <t>SalesChannel</t>
  </si>
  <si>
    <t>Transaction_ID</t>
  </si>
  <si>
    <t>Customer Name</t>
  </si>
  <si>
    <t>Purchase_Date</t>
  </si>
  <si>
    <t>Product_Category</t>
  </si>
  <si>
    <t>Amount</t>
  </si>
  <si>
    <t xml:space="preserve">  john doe </t>
  </si>
  <si>
    <t>Alice Smith</t>
  </si>
  <si>
    <t>Canada</t>
  </si>
  <si>
    <t>BOB MARTIN</t>
  </si>
  <si>
    <t>elecTROnics</t>
  </si>
  <si>
    <t>Charlie Brown</t>
  </si>
  <si>
    <t>Clothing</t>
  </si>
  <si>
    <t xml:space="preserve">  Emma Watson</t>
  </si>
  <si>
    <t>2026-02-30</t>
  </si>
  <si>
    <t>Sports</t>
  </si>
  <si>
    <t>N/A</t>
  </si>
  <si>
    <t>Frank Castle</t>
  </si>
  <si>
    <t>U.S.A.</t>
  </si>
  <si>
    <t>Grace Lee</t>
  </si>
  <si>
    <t>Henry Cavill</t>
  </si>
  <si>
    <t>France</t>
  </si>
  <si>
    <t>Ian Somerhalder</t>
  </si>
  <si>
    <t>SaleID</t>
  </si>
  <si>
    <t>Date</t>
  </si>
  <si>
    <t>CustomerID</t>
  </si>
  <si>
    <t>ProductID</t>
  </si>
  <si>
    <t>S001</t>
  </si>
  <si>
    <t>C001</t>
  </si>
  <si>
    <t>P101</t>
  </si>
  <si>
    <t>S002</t>
  </si>
  <si>
    <t>C002</t>
  </si>
  <si>
    <t>P102</t>
  </si>
  <si>
    <t>S003</t>
  </si>
  <si>
    <t>C003</t>
  </si>
  <si>
    <t>P104</t>
  </si>
  <si>
    <t>S004</t>
  </si>
  <si>
    <t>C004</t>
  </si>
  <si>
    <t>P108</t>
  </si>
  <si>
    <t>S005</t>
  </si>
  <si>
    <t>C005</t>
  </si>
  <si>
    <t>P105</t>
  </si>
  <si>
    <t>S006</t>
  </si>
  <si>
    <t>C006</t>
  </si>
  <si>
    <t>P107</t>
  </si>
  <si>
    <t>S007</t>
  </si>
  <si>
    <t>C007</t>
  </si>
  <si>
    <t>P103</t>
  </si>
  <si>
    <t>S008</t>
  </si>
  <si>
    <t>C008</t>
  </si>
  <si>
    <t>P106</t>
  </si>
  <si>
    <t>S009</t>
  </si>
  <si>
    <t>C009</t>
  </si>
  <si>
    <t>S010</t>
  </si>
  <si>
    <t>C010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</si>
  <si>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</si>
  <si>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</si>
  <si>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</si>
  <si>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</si>
  <si>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</si>
  <si>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</si>
  <si>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</si>
  <si>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</si>
  <si>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</si>
  <si>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</si>
  <si>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ProductName</t>
  </si>
  <si>
    <t>Brand</t>
  </si>
  <si>
    <t>Price</t>
  </si>
  <si>
    <t>HP</t>
  </si>
  <si>
    <t>Mouse</t>
  </si>
  <si>
    <t>Logitech</t>
  </si>
  <si>
    <t>Keyboard</t>
  </si>
  <si>
    <t>Dell</t>
  </si>
  <si>
    <t>Monitor</t>
  </si>
  <si>
    <t>Samsung</t>
  </si>
  <si>
    <t>Nilkamal</t>
  </si>
  <si>
    <t>Desk</t>
  </si>
  <si>
    <t>Godrej</t>
  </si>
  <si>
    <t>Notebook</t>
  </si>
  <si>
    <t>Stationery</t>
  </si>
  <si>
    <t>Classmate</t>
  </si>
  <si>
    <t>Pen</t>
  </si>
  <si>
    <t>Cello</t>
  </si>
  <si>
    <t>Employee ID</t>
  </si>
  <si>
    <t>Employee Name</t>
  </si>
  <si>
    <t>Department</t>
  </si>
  <si>
    <t>Designation</t>
  </si>
  <si>
    <t>Salary</t>
  </si>
  <si>
    <t>Joining Date</t>
  </si>
  <si>
    <t>Location</t>
  </si>
  <si>
    <t>Amit Sharma</t>
  </si>
  <si>
    <t>HR</t>
  </si>
  <si>
    <t>Manager</t>
  </si>
  <si>
    <t>12-01-2020</t>
  </si>
  <si>
    <t>Neha Verma</t>
  </si>
  <si>
    <t>IT</t>
  </si>
  <si>
    <t>Developer</t>
  </si>
  <si>
    <t>23-03-2021</t>
  </si>
  <si>
    <t>Rohit Singh</t>
  </si>
  <si>
    <t>Finance</t>
  </si>
  <si>
    <t>Analyst</t>
  </si>
  <si>
    <t>15-07-2019</t>
  </si>
  <si>
    <t>Priya Mehta</t>
  </si>
  <si>
    <t>Marketing</t>
  </si>
  <si>
    <t>Executive</t>
  </si>
  <si>
    <t>10-11-2022</t>
  </si>
  <si>
    <t>Ahmedabad</t>
  </si>
  <si>
    <t>Karan Patel</t>
  </si>
  <si>
    <t>Tester</t>
  </si>
  <si>
    <t>05-05-2021</t>
  </si>
  <si>
    <t>Surat</t>
  </si>
  <si>
    <t>Sneha Iyer</t>
  </si>
  <si>
    <t>Recruiter</t>
  </si>
  <si>
    <t>18-09-2020</t>
  </si>
  <si>
    <t>Vikas Jain</t>
  </si>
  <si>
    <t>Sales Officer</t>
  </si>
  <si>
    <t>02-02-2018</t>
  </si>
  <si>
    <t>Jaipur</t>
  </si>
  <si>
    <t>Anjali Rao</t>
  </si>
  <si>
    <t>Accountant</t>
  </si>
  <si>
    <t>30-06-2019</t>
  </si>
  <si>
    <t>Rahul Khanna</t>
  </si>
  <si>
    <t>Team Lead</t>
  </si>
  <si>
    <t>14-08-2017</t>
  </si>
  <si>
    <t>Noida</t>
  </si>
  <si>
    <t>Pooja Kulkarni</t>
  </si>
  <si>
    <t>Admin</t>
  </si>
  <si>
    <t>Coordinator</t>
  </si>
  <si>
    <t>01-04-2023</t>
  </si>
  <si>
    <t>Nagpur</t>
  </si>
  <si>
    <t>12-01-2021</t>
  </si>
  <si>
    <t>23-03-2022</t>
  </si>
  <si>
    <t>15-07-2020</t>
  </si>
  <si>
    <t>10-11-2023</t>
  </si>
  <si>
    <t>05-05-2022</t>
  </si>
  <si>
    <t>18-09-2021</t>
  </si>
  <si>
    <t>02-02-2019</t>
  </si>
  <si>
    <t>30-06-2020</t>
  </si>
  <si>
    <t>14-08-2018</t>
  </si>
  <si>
    <t>01-04-2024</t>
  </si>
  <si>
    <t>12-01-2022</t>
  </si>
  <si>
    <t>23-03-2023</t>
  </si>
  <si>
    <t>15-07-2021</t>
  </si>
  <si>
    <t>10-11-2024</t>
  </si>
  <si>
    <t>05-05-2023</t>
  </si>
  <si>
    <t>18-09-2022</t>
  </si>
  <si>
    <t>02-02-2020</t>
  </si>
  <si>
    <t>30-06-2021</t>
  </si>
  <si>
    <t>14-08-2019</t>
  </si>
  <si>
    <t>01-04-2025</t>
  </si>
  <si>
    <t>12-01-2023</t>
  </si>
  <si>
    <t>23-03-2024</t>
  </si>
  <si>
    <t>15-07-2022</t>
  </si>
  <si>
    <t>10-11-2025</t>
  </si>
  <si>
    <t>05-05-2024</t>
  </si>
  <si>
    <t>18-09-2023</t>
  </si>
  <si>
    <t>02-02-2021</t>
  </si>
  <si>
    <t>30-06-2022</t>
  </si>
  <si>
    <t>14-08-2020</t>
  </si>
  <si>
    <t>01-04-2026</t>
  </si>
  <si>
    <t>BJP</t>
  </si>
  <si>
    <t>Abhesinh Motibhai Tadvi</t>
  </si>
  <si>
    <t>Sankheda</t>
  </si>
  <si>
    <t>Gujarat</t>
  </si>
  <si>
    <t>69 yrs</t>
  </si>
  <si>
    <t>Akshaykumar Ishvarbhai Patel</t>
  </si>
  <si>
    <t>Karjan</t>
  </si>
  <si>
    <t>56 yrs</t>
  </si>
  <si>
    <t>Alpesh Khodaji Thakor</t>
  </si>
  <si>
    <t>Gandhinagar South</t>
  </si>
  <si>
    <t>49 yrs</t>
  </si>
  <si>
    <t>INC</t>
  </si>
  <si>
    <t>Amit Chavda</t>
  </si>
  <si>
    <t>Anklav</t>
  </si>
  <si>
    <t>Amit Shah</t>
  </si>
  <si>
    <t>Ellisbridge</t>
  </si>
  <si>
    <t>66 yrs</t>
  </si>
  <si>
    <t>Amit Thaker</t>
  </si>
  <si>
    <t>Vejalpur</t>
  </si>
  <si>
    <t>54 yrs</t>
  </si>
  <si>
    <t>Amrutiya Kantilal Shivlal</t>
  </si>
  <si>
    <t>Morbi</t>
  </si>
  <si>
    <t>63 yrs</t>
  </si>
  <si>
    <t>Amrutji Motiji Thakor</t>
  </si>
  <si>
    <t>Kankrej</t>
  </si>
  <si>
    <t>53 yrs</t>
  </si>
  <si>
    <t>Amul Bhatt</t>
  </si>
  <si>
    <t>Maninagar</t>
  </si>
  <si>
    <t>Anantkumar Hasmukhbhai Patel</t>
  </si>
  <si>
    <t>Bansda</t>
  </si>
  <si>
    <t>48 yrs</t>
  </si>
  <si>
    <t>Aniket Girishbhai Thaker</t>
  </si>
  <si>
    <t>Palanpur</t>
  </si>
  <si>
    <t>Aniruddha Bhailal Dave</t>
  </si>
  <si>
    <t>Mandvi (Kachchh)</t>
  </si>
  <si>
    <t>57 yrs</t>
  </si>
  <si>
    <t>Arjunbhai Devabhai Modhwadia</t>
  </si>
  <si>
    <t>Porbandar</t>
  </si>
  <si>
    <t>Arjunsinh Udesinh Chauhan</t>
  </si>
  <si>
    <t>Mehmedabad</t>
  </si>
  <si>
    <t>Arunsinh Ajitsinh Rana</t>
  </si>
  <si>
    <t>Vagra</t>
  </si>
  <si>
    <t>67 yrs</t>
  </si>
  <si>
    <t>Arvind Chhotubhai Patel</t>
  </si>
  <si>
    <t>Dharampur</t>
  </si>
  <si>
    <t>58 yrs</t>
  </si>
  <si>
    <t>Arvind Shantilal Rana</t>
  </si>
  <si>
    <t>Surat East</t>
  </si>
  <si>
    <t>64 yrs</t>
  </si>
  <si>
    <t>Arvindbhai Jinabhai Ladani</t>
  </si>
  <si>
    <t>Manavadar</t>
  </si>
  <si>
    <t>Babubhai Jamnadas Patel</t>
  </si>
  <si>
    <t>Daskroi</t>
  </si>
  <si>
    <t>77 yrs</t>
  </si>
  <si>
    <t>Babusinh Sarabhai Jadav</t>
  </si>
  <si>
    <t>Vatva</t>
  </si>
  <si>
    <t>40 yrs</t>
  </si>
  <si>
    <t>Bachubhai Maganbhai Khabad</t>
  </si>
  <si>
    <t>Devgadhbaria</t>
  </si>
  <si>
    <t>70 yrs</t>
  </si>
  <si>
    <t>Balkrushna Khanderao Shukla</t>
  </si>
  <si>
    <t>Raopura</t>
  </si>
  <si>
    <t>62 yrs</t>
  </si>
  <si>
    <t>Balrajsinh Kalyansinh Chauhan</t>
  </si>
  <si>
    <t>Dahegam</t>
  </si>
  <si>
    <t>Balvantsinh Chandansinh Rajput</t>
  </si>
  <si>
    <t>Sidhpur</t>
  </si>
  <si>
    <t>Bhagabhai Dhanabhai Barad</t>
  </si>
  <si>
    <t>Talala</t>
  </si>
  <si>
    <t>65 yrs</t>
  </si>
  <si>
    <t>Bhagvanjibhai Lakhabhai Kargatiya</t>
  </si>
  <si>
    <t>Mangrol (Junagadh)</t>
  </si>
  <si>
    <t>Bhanuben Manoharbhai Babariya</t>
  </si>
  <si>
    <t>Rajkot Rural</t>
  </si>
  <si>
    <t>50 yrs</t>
  </si>
  <si>
    <t>Bharatbhai Kikubhai Patel</t>
  </si>
  <si>
    <t>Valsad</t>
  </si>
  <si>
    <t>Bhikhabhai Ravajibhai Baraiya</t>
  </si>
  <si>
    <t>Palitana</t>
  </si>
  <si>
    <t>73 yrs</t>
  </si>
  <si>
    <t>Bhikhusinhji Chatursinhji Parmar</t>
  </si>
  <si>
    <t>Modasa</t>
  </si>
  <si>
    <t>71 yrs</t>
  </si>
  <si>
    <t>AAP</t>
  </si>
  <si>
    <t>Bhupendrabhai Gandubhai Bhayani</t>
  </si>
  <si>
    <t>Visavadar</t>
  </si>
  <si>
    <t>Bhupendrabhai Rajnikant Patel</t>
  </si>
  <si>
    <t>Ghatlodia</t>
  </si>
  <si>
    <t>C. J. Chavda</t>
  </si>
  <si>
    <t>Vijapur</t>
  </si>
  <si>
    <t>C. K. Raulji</t>
  </si>
  <si>
    <t>Godhra</t>
  </si>
  <si>
    <t>Chaitanya Makarandbhai Desai</t>
  </si>
  <si>
    <t>Akota</t>
  </si>
  <si>
    <t>52 yrs</t>
  </si>
  <si>
    <t>Chaitanyasinh Pratapsinh Zala</t>
  </si>
  <si>
    <t>Padra</t>
  </si>
  <si>
    <t>47 yrs</t>
  </si>
  <si>
    <t>Chaitarbhai Damjibhai Vasava</t>
  </si>
  <si>
    <t>Dediapada</t>
  </si>
  <si>
    <t>Chhanga Trikam Bijal</t>
  </si>
  <si>
    <t>Anjar</t>
  </si>
  <si>
    <t>Chiragkumar Arvindbhai Patel</t>
  </si>
  <si>
    <t>Khambhat</t>
  </si>
  <si>
    <t>46 yrs</t>
  </si>
  <si>
    <t>Darshita Shah</t>
  </si>
  <si>
    <t>Rajkot West</t>
  </si>
  <si>
    <t>Darshna Chandubhai Deshmukh</t>
  </si>
  <si>
    <t>Nandod</t>
  </si>
  <si>
    <t>Darshna M. Vaghela</t>
  </si>
  <si>
    <t>Asarwa</t>
  </si>
  <si>
    <t>Devabhai Punjabhai Malam</t>
  </si>
  <si>
    <t>Keshod</t>
  </si>
  <si>
    <t>Devkishordasji Bhaktisvarupdasji Swami</t>
  </si>
  <si>
    <t>Jambusar</t>
  </si>
  <si>
    <t>I</t>
  </si>
  <si>
    <t>Dharmendrasinh Ranubha Vaghela</t>
  </si>
  <si>
    <t>Vaghodia</t>
  </si>
  <si>
    <t>Dhavalsinh Narendrasinh Zala</t>
  </si>
  <si>
    <t>Bayad</t>
  </si>
  <si>
    <t>Dineshbhai Ataji Thakor</t>
  </si>
  <si>
    <t>Chanasma</t>
  </si>
  <si>
    <t>55 yrs</t>
  </si>
  <si>
    <t>Dineshsinh Rajendrasinh Kushwaha</t>
  </si>
  <si>
    <t>Bapunagar</t>
  </si>
  <si>
    <t>Divyeshbhai Ranchhodbhai Akbari</t>
  </si>
  <si>
    <t>Jamnagar South</t>
  </si>
  <si>
    <t>Durlabhjibhai Harakhjibhai Dethariya</t>
  </si>
  <si>
    <t>Tankara</t>
  </si>
  <si>
    <t>Fatesinh Vakhatsinh Chauhan</t>
  </si>
  <si>
    <t>Kalol (Panchmahals)</t>
  </si>
  <si>
    <t>Gajendrasinh Udesinh Parmar</t>
  </si>
  <si>
    <t>Prantij</t>
  </si>
  <si>
    <t>Ganpatsinh Vestabhai Vasava</t>
  </si>
  <si>
    <t>Mangrol (Surat)</t>
  </si>
  <si>
    <t>Gautambhai Gopabhai Chauhan</t>
  </si>
  <si>
    <t>Talaja</t>
  </si>
  <si>
    <t>51 yrs</t>
  </si>
  <si>
    <t>Geetaba Jayrajsinh Jadeja</t>
  </si>
  <si>
    <t>Gondal</t>
  </si>
  <si>
    <t>Geniben Nagaji Thakor</t>
  </si>
  <si>
    <t>Vav</t>
  </si>
  <si>
    <t>Gopal Italia</t>
  </si>
  <si>
    <t>Govindbhai Raijibhai Parmar</t>
  </si>
  <si>
    <t>Umreth</t>
  </si>
  <si>
    <t>72 yrs</t>
  </si>
  <si>
    <t>Gulabsinh Somsinh Chauhan</t>
  </si>
  <si>
    <t>Lunawada</t>
  </si>
  <si>
    <t>Hardik Bharatbhai Patel</t>
  </si>
  <si>
    <t>Viramgam</t>
  </si>
  <si>
    <t>32 yrs</t>
  </si>
  <si>
    <t>Harsh Ramesh Sanghvi</t>
  </si>
  <si>
    <t>Majura</t>
  </si>
  <si>
    <t>Harshadbhai Ranchhodbhai Patel</t>
  </si>
  <si>
    <t>Sabarmati</t>
  </si>
  <si>
    <t>Hasmukh Patel</t>
  </si>
  <si>
    <t>Amraiwadi</t>
  </si>
  <si>
    <t>Hemantbhai Hardasbhai Ahir</t>
  </si>
  <si>
    <t>Jamjodhpur</t>
  </si>
  <si>
    <t>Hirabhai Odhavjibhai Solanki</t>
  </si>
  <si>
    <t>Rajula</t>
  </si>
  <si>
    <t>60 yrs</t>
  </si>
  <si>
    <t>Imran Khedawala</t>
  </si>
  <si>
    <t>Jamalpur - Khadia</t>
  </si>
  <si>
    <t>Ishvarbhai Alias Anilbhai Ramanbhai Parmar</t>
  </si>
  <si>
    <t>Bardoli</t>
  </si>
  <si>
    <t>Ishwarsinh Thakorbhai Patel</t>
  </si>
  <si>
    <t>Ankleshwar</t>
  </si>
  <si>
    <t>Jagdish Vishwakarma</t>
  </si>
  <si>
    <t>Nikol</t>
  </si>
  <si>
    <t>Jagdishbhai Prabhubhai Makwana</t>
  </si>
  <si>
    <t>Wadhwan</t>
  </si>
  <si>
    <t>Janakbhai Talaviya</t>
  </si>
  <si>
    <t>Lathi</t>
  </si>
  <si>
    <t>Jayantibhai Savjibhai Rathwa</t>
  </si>
  <si>
    <t>Jetpur (Chhota Udepur)</t>
  </si>
  <si>
    <t>Jayantibhai Somabhai Patel</t>
  </si>
  <si>
    <t>Mansa</t>
  </si>
  <si>
    <t>Jaydrathsinhji Parmar</t>
  </si>
  <si>
    <t>Halol</t>
  </si>
  <si>
    <t>61 yrs</t>
  </si>
  <si>
    <t>Jayeshbhai Vitthalbhai Radadiya</t>
  </si>
  <si>
    <t>Jetpur (Rajkot)</t>
  </si>
  <si>
    <t>43 yrs</t>
  </si>
  <si>
    <t>Jayrambhai Chemabhai Gamit</t>
  </si>
  <si>
    <t>Nizar</t>
  </si>
  <si>
    <t>Jaysukhbhai Vallabhbhai Kakadiya</t>
  </si>
  <si>
    <t>Dhari</t>
  </si>
  <si>
    <t>Jethabhai Ghelabhai Ahir</t>
  </si>
  <si>
    <t>Shehra</t>
  </si>
  <si>
    <t>75 yrs</t>
  </si>
  <si>
    <t>Jignesh Mevani</t>
  </si>
  <si>
    <t>Vadgam</t>
  </si>
  <si>
    <t>44 yrs</t>
  </si>
  <si>
    <t>Jitendra Kantilal Somani</t>
  </si>
  <si>
    <t>Wankaner</t>
  </si>
  <si>
    <t>Jitendrabhai Savajibhai Vaghani</t>
  </si>
  <si>
    <t>Bhavnagar West</t>
  </si>
  <si>
    <t>Jitendrakumar Ramanlal Patel</t>
  </si>
  <si>
    <t>Naranpura</t>
  </si>
  <si>
    <t>Jitubhai Harjibhai Chaudhari</t>
  </si>
  <si>
    <t>Kaprada</t>
  </si>
  <si>
    <t>Kalpeshbhai Ashabhai Parmar</t>
  </si>
  <si>
    <t>Matar</t>
  </si>
  <si>
    <t>Kalubhai Chanabhai Rathod</t>
  </si>
  <si>
    <t>Una</t>
  </si>
  <si>
    <t>Kalubhai Rupabhai Dabhi</t>
  </si>
  <si>
    <t>Dhandhuka</t>
  </si>
  <si>
    <t>Kamleshbhai Rameshbhai Patel</t>
  </si>
  <si>
    <t>Petlad</t>
  </si>
  <si>
    <t>Kanaiyalal Bachubhai Kishori</t>
  </si>
  <si>
    <t>Dahod</t>
  </si>
  <si>
    <t>42 yrs</t>
  </si>
  <si>
    <t>Kanchanben Vinubhai Radadiya</t>
  </si>
  <si>
    <t>Thakkarbapa Nagar</t>
  </si>
  <si>
    <t>SP</t>
  </si>
  <si>
    <t>Kandhalbhai Sarmanbhai Jadeja</t>
  </si>
  <si>
    <t>Kutiyana</t>
  </si>
  <si>
    <t>Kantibhai Himmatbhai Balar</t>
  </si>
  <si>
    <t>Surat North</t>
  </si>
  <si>
    <t>Kantibhai Kalabhai Kharadi</t>
  </si>
  <si>
    <t>Danta</t>
  </si>
  <si>
    <t>Kanubhai Karamshibhai Patel</t>
  </si>
  <si>
    <t>Sanand</t>
  </si>
  <si>
    <t>Kanubhai Mohanlal Desai</t>
  </si>
  <si>
    <t>Pardi</t>
  </si>
  <si>
    <t>74 yrs</t>
  </si>
  <si>
    <t>Karsanbhai Punjabhai Solanki</t>
  </si>
  <si>
    <t>Kadi</t>
  </si>
  <si>
    <t>68 yrs</t>
  </si>
  <si>
    <t>Kaushik Kantibhai Vekariya</t>
  </si>
  <si>
    <t>Amreli</t>
  </si>
  <si>
    <t>39 yrs</t>
  </si>
  <si>
    <t>Kaushikbhai Sukhlal Jain</t>
  </si>
  <si>
    <t>Dariapur</t>
  </si>
  <si>
    <t>Keshaji Shivaji Chauhan</t>
  </si>
  <si>
    <t>Deodar</t>
  </si>
  <si>
    <t>Keshubhai Shivdas Patel</t>
  </si>
  <si>
    <t>Bhuj</t>
  </si>
  <si>
    <t>Ketanbhai Mahendrabhai Inamdar</t>
  </si>
  <si>
    <t>Savli</t>
  </si>
  <si>
    <t>Kiritkumar Chimanlal Patel</t>
  </si>
  <si>
    <t>Patan</t>
  </si>
  <si>
    <t>Kiritsinh Jitubha Rana</t>
  </si>
  <si>
    <t>Limbdi</t>
  </si>
  <si>
    <t>Kiritsinh Sardarsang Dabhi</t>
  </si>
  <si>
    <t>Dholka</t>
  </si>
  <si>
    <t>Kishor Kanani</t>
  </si>
  <si>
    <t>Varachha Road</t>
  </si>
  <si>
    <t>Kuberbhai Mansukhbhai Dindor</t>
  </si>
  <si>
    <t>Santrampur</t>
  </si>
  <si>
    <t>Kunvarjibhai Mohanbhai Bavaliya</t>
  </si>
  <si>
    <t>Jasdan</t>
  </si>
  <si>
    <t>Kunvarjibhai Narsinhbhai Halpati</t>
  </si>
  <si>
    <t>Mandvi (Surat)</t>
  </si>
  <si>
    <t>Lavingji Muljiji Solanki</t>
  </si>
  <si>
    <t>Radhanpur</t>
  </si>
  <si>
    <t>Laxmanji Punjaji Thakor</t>
  </si>
  <si>
    <t>Kalol (Gandhinagar)</t>
  </si>
  <si>
    <t>Mahendrabhai Padalia</t>
  </si>
  <si>
    <t>Dhoraji</t>
  </si>
  <si>
    <t>Mahendrabhai Rameshbhai Bhabhor</t>
  </si>
  <si>
    <t>Garbada</t>
  </si>
  <si>
    <t>Mahesh Kaswala</t>
  </si>
  <si>
    <t>Savarkundla</t>
  </si>
  <si>
    <t>Maheshbhai Somjibhai Bhuriya</t>
  </si>
  <si>
    <t>Jhalod</t>
  </si>
  <si>
    <t>Malti Kishor Maheshwari</t>
  </si>
  <si>
    <t>Gandhidham</t>
  </si>
  <si>
    <t>36 yrs</t>
  </si>
  <si>
    <t>Manisha Vakil</t>
  </si>
  <si>
    <t>Vadodara City</t>
  </si>
  <si>
    <t>Mansinh Kohyabhai Chauhan</t>
  </si>
  <si>
    <t>Balasinor</t>
  </si>
  <si>
    <t>Manubhai M. Patel</t>
  </si>
  <si>
    <t>Udhna</t>
  </si>
  <si>
    <t>Mavjibhai Maganbhai Desai</t>
  </si>
  <si>
    <t>Dhanera</t>
  </si>
  <si>
    <t>Meghjibhai Amarabhai Chavda</t>
  </si>
  <si>
    <t>Kalavad</t>
  </si>
  <si>
    <t>Mohanbhai Dhanjibhai Dhodiya</t>
  </si>
  <si>
    <t>Mahuva (ST)</t>
  </si>
  <si>
    <t>Mohanbhai Dhedabhai Kokani</t>
  </si>
  <si>
    <t>Vyara</t>
  </si>
  <si>
    <t>Mukeshbhai Zinabhai Patel</t>
  </si>
  <si>
    <t>Olpad</t>
  </si>
  <si>
    <t>Mukeshkumar D. Patel</t>
  </si>
  <si>
    <t>Mahesana</t>
  </si>
  <si>
    <t>59 yrs</t>
  </si>
  <si>
    <t>Mulubhai Hardasbhai Bera Ayar</t>
  </si>
  <si>
    <t>Khambhalia</t>
  </si>
  <si>
    <t>Narayandas Rokadia Keyur</t>
  </si>
  <si>
    <t>Sayajigunj</t>
  </si>
  <si>
    <t>Nareshbhai Maganbhai Patel</t>
  </si>
  <si>
    <t>Gandevi</t>
  </si>
  <si>
    <t>Nimishaben Manharsinh Suthar</t>
  </si>
  <si>
    <t>Morva Hadaf</t>
  </si>
  <si>
    <t>P. C. Baranda</t>
  </si>
  <si>
    <t>Bhiloda</t>
  </si>
  <si>
    <t>P. K. Parmar</t>
  </si>
  <si>
    <t>Dasada</t>
  </si>
  <si>
    <t>Pabubha Virambha Manek</t>
  </si>
  <si>
    <t>Dwarka</t>
  </si>
  <si>
    <t>Pankajbhai Vinubhai Desai</t>
  </si>
  <si>
    <t>Nadiad</t>
  </si>
  <si>
    <t>Parshottambhai O. Solanki</t>
  </si>
  <si>
    <t>Bhavnagar Rural</t>
  </si>
  <si>
    <t>Patel Kiritkumar Keshavlal</t>
  </si>
  <si>
    <t>Unjha</t>
  </si>
  <si>
    <t>Payal Manojkumar Kukrani</t>
  </si>
  <si>
    <t>Naroda</t>
  </si>
  <si>
    <t>Pradhyumansinh Mahipatsinh Jadeja</t>
  </si>
  <si>
    <t>Abdasa</t>
  </si>
  <si>
    <t>Pradyuman Ganubhai Vaja</t>
  </si>
  <si>
    <t>Kodinar</t>
  </si>
  <si>
    <t>Praful Pansheriya</t>
  </si>
  <si>
    <t>Kamrej</t>
  </si>
  <si>
    <t>Prakashbhai Parsotambhai Varmora</t>
  </si>
  <si>
    <t>Dhrangadhra</t>
  </si>
  <si>
    <t>Pravinbhai Manjibhai Ghoghari</t>
  </si>
  <si>
    <t>Karanj</t>
  </si>
  <si>
    <t>Pravinkumar Gordhanji Mali</t>
  </si>
  <si>
    <t>Deesa</t>
  </si>
  <si>
    <t>Purnesh Modi</t>
  </si>
  <si>
    <t>Surat West</t>
  </si>
  <si>
    <t>R. C. Patel</t>
  </si>
  <si>
    <t>Jalalpore</t>
  </si>
  <si>
    <t>Raghavjibhai Hansrajbhai Patel</t>
  </si>
  <si>
    <t>Jamnagar Rural</t>
  </si>
  <si>
    <t>Rajendrakumar (Rajubhai) Daneshwar Chavda</t>
  </si>
  <si>
    <t>Rajendrasinh Mohansinh Rathva</t>
  </si>
  <si>
    <t>Chhota Udaipur</t>
  </si>
  <si>
    <t>Rajeshkumar Maganbhai Zala</t>
  </si>
  <si>
    <t>Kapadvanj</t>
  </si>
  <si>
    <t>37 yrs</t>
  </si>
  <si>
    <t>Rakesh Gunvantbhai Desai</t>
  </si>
  <si>
    <t>Navsari</t>
  </si>
  <si>
    <t>Ramanbhai Bhikhabhai Solanki</t>
  </si>
  <si>
    <t>Borsad</t>
  </si>
  <si>
    <t>Ramanlal Ishwarlal Vora</t>
  </si>
  <si>
    <t>Idar</t>
  </si>
  <si>
    <t>Ramanlal Nanubhai Patkar</t>
  </si>
  <si>
    <t>Umbergaon</t>
  </si>
  <si>
    <t>Rameshbhai Bhurabhai Katara</t>
  </si>
  <si>
    <t>Fatepura</t>
  </si>
  <si>
    <t>Rameshbhai Narandas Mistry</t>
  </si>
  <si>
    <t>Bharuch</t>
  </si>
  <si>
    <t>Rameshbhai Virjibhai Tilala</t>
  </si>
  <si>
    <t>Rajkot South</t>
  </si>
  <si>
    <t>Ritaben Ketankumar Patel</t>
  </si>
  <si>
    <t>Gandhinagar North</t>
  </si>
  <si>
    <t>Riteshkumar Ramanbhai Vasava</t>
  </si>
  <si>
    <t>Jhagadia</t>
  </si>
  <si>
    <t>Rivaba Ravindrasinh Jadeja</t>
  </si>
  <si>
    <t>Jamnagar North</t>
  </si>
  <si>
    <t>35 yrs</t>
  </si>
  <si>
    <t>Rushikesh Ganeshbhai Patel</t>
  </si>
  <si>
    <t>Visnagar</t>
  </si>
  <si>
    <t>Sandip Desai</t>
  </si>
  <si>
    <t>Choryasi</t>
  </si>
  <si>
    <t>Sangitaben Rajendra Patil</t>
  </si>
  <si>
    <t>Limbayat</t>
  </si>
  <si>
    <t>Sanjay Sukhabhai Koradia</t>
  </si>
  <si>
    <t>Junagadh</t>
  </si>
  <si>
    <t>Sanjaysinh Vijaysinh Mahida</t>
  </si>
  <si>
    <t>Mahudha</t>
  </si>
  <si>
    <t>45 yrs</t>
  </si>
  <si>
    <t>Sardarbhai Shamalbhai Chaudhary</t>
  </si>
  <si>
    <t>Kheralu</t>
  </si>
  <si>
    <t>Sejalben Rajivkumar Pandya</t>
  </si>
  <si>
    <t>Bhavnagar East</t>
  </si>
  <si>
    <t>Shailesh Manubhai Parmar</t>
  </si>
  <si>
    <t>Danilimda</t>
  </si>
  <si>
    <t>Shaileshbhai Kanaiyalal Mehta</t>
  </si>
  <si>
    <t>Dabhoi</t>
  </si>
  <si>
    <t>Shaileshbhai Sumanbhai Bhabhor</t>
  </si>
  <si>
    <t>Limkheda</t>
  </si>
  <si>
    <t>Shamajibhai Bhimajibhai Chauhan</t>
  </si>
  <si>
    <t>Chotila</t>
  </si>
  <si>
    <t>Shambhunath Tundiya Mahant</t>
  </si>
  <si>
    <t>Gadhada</t>
  </si>
  <si>
    <t>Shankarbhai Lagdhirbhai Chaudhary</t>
  </si>
  <si>
    <t>Tharad</t>
  </si>
  <si>
    <t>Shivabhai Jerambhai Gohil</t>
  </si>
  <si>
    <t>Mahuva (Bhavnagar)</t>
  </si>
  <si>
    <t>Sudhirbhai Vaghani</t>
  </si>
  <si>
    <t>Gariadhar</t>
  </si>
  <si>
    <t>Sukhaji Somaji Thakor</t>
  </si>
  <si>
    <t>Becharaji</t>
  </si>
  <si>
    <t>Thakor Swarupji Sardarji</t>
  </si>
  <si>
    <t>Tushar Amarsinh Chaudhary</t>
  </si>
  <si>
    <t>Khedbrahma</t>
  </si>
  <si>
    <t>Uday Kangad</t>
  </si>
  <si>
    <t>Rajkot East</t>
  </si>
  <si>
    <t>Umeshbhai Naranbhai Makwana</t>
  </si>
  <si>
    <t>Botad</t>
  </si>
  <si>
    <t>Vijaybhai Rameshbhai Patel</t>
  </si>
  <si>
    <t>Dangs</t>
  </si>
  <si>
    <t>Vimalbhai Kanabhai Chudasama</t>
  </si>
  <si>
    <t>Somnath</t>
  </si>
  <si>
    <t>Vinendrasinh Dilipsinh Zala</t>
  </si>
  <si>
    <t>Himatnagar</t>
  </si>
  <si>
    <t>Vinodbhai Amarshibhai Moradiya</t>
  </si>
  <si>
    <t>Katargam</t>
  </si>
  <si>
    <t>Vipulkumar Vinubhai Patel</t>
  </si>
  <si>
    <t>Sojitra</t>
  </si>
  <si>
    <t>Virendrasinh Bahadursinh Jadeja</t>
  </si>
  <si>
    <t>Rapar</t>
  </si>
  <si>
    <t>Yogendrasinh Parmar</t>
  </si>
  <si>
    <t>Thasra</t>
  </si>
  <si>
    <t>Yogesh R. Patel</t>
  </si>
  <si>
    <t>Anand</t>
  </si>
  <si>
    <t>Yogeshbhai Narandas Patel</t>
  </si>
  <si>
    <t>Manjalpur</t>
  </si>
  <si>
    <t>79 yrs</t>
  </si>
  <si>
    <t>Column1</t>
  </si>
  <si>
    <t>Model</t>
  </si>
  <si>
    <t>ItemsSold</t>
  </si>
  <si>
    <t>Gender</t>
  </si>
  <si>
    <t>AgeGroup</t>
  </si>
  <si>
    <t>PurchaseChannel</t>
  </si>
  <si>
    <t>Month</t>
  </si>
  <si>
    <t>Year</t>
  </si>
  <si>
    <t>iPhone 11</t>
  </si>
  <si>
    <t>25-34</t>
  </si>
  <si>
    <t>North</t>
  </si>
  <si>
    <t>January</t>
  </si>
  <si>
    <t>iPhone 12</t>
  </si>
  <si>
    <t>18-24</t>
  </si>
  <si>
    <t>West</t>
  </si>
  <si>
    <t>February</t>
  </si>
  <si>
    <t>iPhone 13</t>
  </si>
  <si>
    <t>35-44</t>
  </si>
  <si>
    <t>South</t>
  </si>
  <si>
    <t>March</t>
  </si>
  <si>
    <t>East</t>
  </si>
  <si>
    <t>April</t>
  </si>
  <si>
    <t>iPhone 15</t>
  </si>
  <si>
    <t>May</t>
  </si>
  <si>
    <t>45-54</t>
  </si>
  <si>
    <t>June</t>
  </si>
  <si>
    <t>July</t>
  </si>
  <si>
    <t>August</t>
  </si>
  <si>
    <t>September</t>
  </si>
  <si>
    <t>October</t>
  </si>
  <si>
    <t>November</t>
  </si>
  <si>
    <t>December</t>
  </si>
  <si>
    <t>55+</t>
  </si>
  <si>
    <t>EmployeeID</t>
  </si>
  <si>
    <t>First Name</t>
  </si>
  <si>
    <t>JoiningDate</t>
  </si>
  <si>
    <t>Experience_Years</t>
  </si>
  <si>
    <t>Performance _Rating</t>
  </si>
  <si>
    <t>Status</t>
  </si>
  <si>
    <t>Phone</t>
  </si>
  <si>
    <t>Project</t>
  </si>
  <si>
    <t>Last_Promotion_Date</t>
  </si>
  <si>
    <t>Leave_Days</t>
  </si>
  <si>
    <t>Working_Hours</t>
  </si>
  <si>
    <t>Remarks</t>
  </si>
  <si>
    <t>Amit</t>
  </si>
  <si>
    <t>2021-04-15</t>
  </si>
  <si>
    <t>Active</t>
  </si>
  <si>
    <t>ERP</t>
  </si>
  <si>
    <t>Rohit</t>
  </si>
  <si>
    <t>2023-06-10</t>
  </si>
  <si>
    <t>Good performer</t>
  </si>
  <si>
    <t>Neha</t>
  </si>
  <si>
    <t>HR Executive</t>
  </si>
  <si>
    <t>2020-01-20</t>
  </si>
  <si>
    <t>9876543211</t>
  </si>
  <si>
    <t>Recruitment</t>
  </si>
  <si>
    <t>Anjali</t>
  </si>
  <si>
    <t>2022-03-15</t>
  </si>
  <si>
    <t>Consistent</t>
  </si>
  <si>
    <t>Rahul Mehta</t>
  </si>
  <si>
    <t>Rahul</t>
  </si>
  <si>
    <t>2019-07-10</t>
  </si>
  <si>
    <t>9876543212</t>
  </si>
  <si>
    <t>Audit</t>
  </si>
  <si>
    <t>Suresh</t>
  </si>
  <si>
    <t>2024-01-05</t>
  </si>
  <si>
    <t>Excellent</t>
  </si>
  <si>
    <t>Priya Singh</t>
  </si>
  <si>
    <t>Priya</t>
  </si>
  <si>
    <t>2022-11-01</t>
  </si>
  <si>
    <t>9876543213</t>
  </si>
  <si>
    <t>Mobile App</t>
  </si>
  <si>
    <t>2023-12-20</t>
  </si>
  <si>
    <t>Needs improvement</t>
  </si>
  <si>
    <t>Karan</t>
  </si>
  <si>
    <t>Sales Executive</t>
  </si>
  <si>
    <t>9876543214</t>
  </si>
  <si>
    <t>CRM</t>
  </si>
  <si>
    <t>Meena</t>
  </si>
  <si>
    <t>2021-09-18</t>
  </si>
  <si>
    <t>Target achiever</t>
  </si>
  <si>
    <t>Anita Rao</t>
  </si>
  <si>
    <t>Anita</t>
  </si>
  <si>
    <t>SEO Analyst</t>
  </si>
  <si>
    <t>Hyderabad</t>
  </si>
  <si>
    <t>2021-08-12</t>
  </si>
  <si>
    <t>9876543215</t>
  </si>
  <si>
    <t>Website</t>
  </si>
  <si>
    <t>Sanjay</t>
  </si>
  <si>
    <t>2023-05-30</t>
  </si>
  <si>
    <t>Creative</t>
  </si>
  <si>
    <t>Vikas</t>
  </si>
  <si>
    <t>Operations</t>
  </si>
  <si>
    <t>2017-02-14</t>
  </si>
  <si>
    <t>Inactive</t>
  </si>
  <si>
    <t>9876543216</t>
  </si>
  <si>
    <t>Logistics</t>
  </si>
  <si>
    <t>Pooja</t>
  </si>
  <si>
    <t>2020-11-11</t>
  </si>
  <si>
    <t>On hold</t>
  </si>
  <si>
    <t>Sneha Kulkarni</t>
  </si>
  <si>
    <t>Sneha</t>
  </si>
  <si>
    <t>2023-03-01</t>
  </si>
  <si>
    <t>9876543217</t>
  </si>
  <si>
    <t>Budget</t>
  </si>
  <si>
    <t>2024-07-01</t>
  </si>
  <si>
    <t>Fast learner</t>
  </si>
  <si>
    <t>Arjun Nair</t>
  </si>
  <si>
    <t>Arjun</t>
  </si>
  <si>
    <t>DevOps</t>
  </si>
  <si>
    <t>2019-09-09</t>
  </si>
  <si>
    <t>9876543218</t>
  </si>
  <si>
    <t>Cloud</t>
  </si>
  <si>
    <t>2022-08-22</t>
  </si>
  <si>
    <t>Reliable</t>
  </si>
  <si>
    <t>Pooja Malhotra</t>
  </si>
  <si>
    <t>2020-12-05</t>
  </si>
  <si>
    <t>9876543219</t>
  </si>
  <si>
    <t>Hiring</t>
  </si>
  <si>
    <t>2023-02-10</t>
  </si>
  <si>
    <t>Team player</t>
  </si>
  <si>
    <t>deepak malviya</t>
  </si>
  <si>
    <t>deepak</t>
  </si>
  <si>
    <t>MAle</t>
  </si>
  <si>
    <t>Activw</t>
  </si>
  <si>
    <t xml:space="preserve"> 44</t>
  </si>
  <si>
    <t xml:space="preserve"> 16</t>
  </si>
  <si>
    <t xml:space="preserve"> 17</t>
  </si>
  <si>
    <t xml:space="preserve"> 99</t>
  </si>
  <si>
    <t xml:space="preserve"> 10</t>
  </si>
  <si>
    <t xml:space="preserve"> 11</t>
  </si>
  <si>
    <t xml:space="preserve"> 21</t>
  </si>
  <si>
    <t xml:space="preserve"> 79</t>
  </si>
  <si>
    <t xml:space="preserve"> 7</t>
  </si>
  <si>
    <t xml:space="preserve"> 98</t>
  </si>
  <si>
    <t xml:space="preserve"> 19</t>
  </si>
  <si>
    <t xml:space="preserve"> 27</t>
  </si>
  <si>
    <t xml:space="preserve"> 109</t>
  </si>
  <si>
    <t xml:space="preserve"> 62</t>
  </si>
  <si>
    <t xml:space="preserve"> 12</t>
  </si>
  <si>
    <t xml:space="preserve"> 5</t>
  </si>
  <si>
    <t xml:space="preserve"> 14</t>
  </si>
  <si>
    <t xml:space="preserve"> 30</t>
  </si>
  <si>
    <t xml:space="preserve"> 22</t>
  </si>
  <si>
    <t xml:space="preserve"> 25</t>
  </si>
  <si>
    <t xml:space="preserve"> 20</t>
  </si>
  <si>
    <t xml:space="preserve"> 6</t>
  </si>
  <si>
    <t xml:space="preserve"> 3</t>
  </si>
  <si>
    <t xml:space="preserve"> 48</t>
  </si>
  <si>
    <t xml:space="preserve"> 28</t>
  </si>
  <si>
    <t xml:space="preserve"> 8</t>
  </si>
  <si>
    <t xml:space="preserve"> 42</t>
  </si>
  <si>
    <t xml:space="preserve"> 97</t>
  </si>
  <si>
    <t xml:space="preserve"> 51</t>
  </si>
  <si>
    <t xml:space="preserve"> 100</t>
  </si>
  <si>
    <t xml:space="preserve"> 53</t>
  </si>
  <si>
    <t xml:space="preserve"> 26</t>
  </si>
  <si>
    <t xml:space="preserve"> 23</t>
  </si>
  <si>
    <t xml:space="preserve"> 91</t>
  </si>
  <si>
    <t xml:space="preserve"> 18</t>
  </si>
  <si>
    <t xml:space="preserve"> 2</t>
  </si>
  <si>
    <t xml:space="preserve"> 24</t>
  </si>
  <si>
    <t xml:space="preserve"> 107</t>
  </si>
  <si>
    <t xml:space="preserve"> 9</t>
  </si>
  <si>
    <t xml:space="preserve"> 101</t>
  </si>
  <si>
    <t xml:space="preserve"> 13</t>
  </si>
  <si>
    <t xml:space="preserve"> 34</t>
  </si>
  <si>
    <t xml:space="preserve"> 29</t>
  </si>
  <si>
    <t xml:space="preserve"> 1</t>
  </si>
  <si>
    <t xml:space="preserve"> 104</t>
  </si>
  <si>
    <t xml:space="preserve"> 82</t>
  </si>
  <si>
    <t xml:space="preserve"> 31</t>
  </si>
  <si>
    <t xml:space="preserve"> 15</t>
  </si>
  <si>
    <t xml:space="preserve"> 112</t>
  </si>
  <si>
    <t xml:space="preserve"> 110</t>
  </si>
  <si>
    <t xml:space="preserve"> 43</t>
  </si>
  <si>
    <t>Column2</t>
  </si>
  <si>
    <t>Column3</t>
  </si>
  <si>
    <t>Column4</t>
  </si>
  <si>
    <t>Column5</t>
  </si>
  <si>
    <t>Column6</t>
  </si>
  <si>
    <t>Column7</t>
  </si>
  <si>
    <t>Performance Rating</t>
  </si>
  <si>
    <t>2019-06-12</t>
  </si>
  <si>
    <t>2020-03-18</t>
  </si>
  <si>
    <t>Ravi</t>
  </si>
  <si>
    <t>Anil</t>
  </si>
  <si>
    <t>2018-11-01</t>
  </si>
  <si>
    <t>2021-07-22</t>
  </si>
  <si>
    <t>2019-01-15</t>
  </si>
  <si>
    <t>2022-02-10</t>
  </si>
  <si>
    <t>2017-09-05</t>
  </si>
  <si>
    <t>Rina</t>
  </si>
  <si>
    <t>2020-12-30</t>
  </si>
  <si>
    <t>Manoj</t>
  </si>
  <si>
    <t>2018-05-19</t>
  </si>
  <si>
    <t>Kavita</t>
  </si>
  <si>
    <t>2021-10-11</t>
  </si>
  <si>
    <t>ID</t>
  </si>
  <si>
    <t>Age</t>
  </si>
  <si>
    <t>Email</t>
  </si>
  <si>
    <t>ContactNo</t>
  </si>
  <si>
    <t>amit@gmail.com</t>
  </si>
  <si>
    <t>neha@gmail.com</t>
  </si>
  <si>
    <t>rohit@gmail.com</t>
  </si>
  <si>
    <t>Pooja Mehta</t>
  </si>
  <si>
    <t>pooja@gmail.com</t>
  </si>
  <si>
    <t>Rahul Jain</t>
  </si>
  <si>
    <t>rahul@gmail.com</t>
  </si>
  <si>
    <t>Kiran Patel</t>
  </si>
  <si>
    <t>kiran@gmail.com</t>
  </si>
  <si>
    <t>Sneha Kapoor</t>
  </si>
  <si>
    <t>sneha@gmail.com</t>
  </si>
  <si>
    <t>Vikas Yadav</t>
  </si>
  <si>
    <t>vikas@gmail.com</t>
  </si>
  <si>
    <t>Anjali Gupta</t>
  </si>
  <si>
    <t>anjali@gmail.com</t>
  </si>
  <si>
    <t>Manish Roy</t>
  </si>
  <si>
    <t>manish@gmail.com</t>
  </si>
  <si>
    <t>Ritu Malhotra</t>
  </si>
  <si>
    <t>ritu@gmail.com</t>
  </si>
  <si>
    <t>9876543220</t>
  </si>
  <si>
    <t>Sandeep Kumar</t>
  </si>
  <si>
    <t>sandeep@gmail.com</t>
  </si>
  <si>
    <t>9876543221</t>
  </si>
  <si>
    <t>Nisha Arora</t>
  </si>
  <si>
    <t>nisha@gmail.com</t>
  </si>
  <si>
    <t>9876543222</t>
  </si>
  <si>
    <t>Deepak Mishra</t>
  </si>
  <si>
    <t>deepak@gmail.com</t>
  </si>
  <si>
    <t>9876543223</t>
  </si>
  <si>
    <t>Kavita Joshi</t>
  </si>
  <si>
    <t>kavita@gmail.com</t>
  </si>
  <si>
    <t>9876543224</t>
  </si>
  <si>
    <t>Arun Saxena</t>
  </si>
  <si>
    <t>arun@gmail.com</t>
  </si>
  <si>
    <t>9876543225</t>
  </si>
  <si>
    <t>Preeti Chauhan</t>
  </si>
  <si>
    <t>preeti@gmail.com</t>
  </si>
  <si>
    <t>9876543226</t>
  </si>
  <si>
    <t>Mohit Bansal</t>
  </si>
  <si>
    <t>mohit@gmail.com</t>
  </si>
  <si>
    <t>9876543227</t>
  </si>
  <si>
    <t>Shweta Agarwal</t>
  </si>
  <si>
    <t>shweta@gmail.com</t>
  </si>
  <si>
    <t>9876543228</t>
  </si>
  <si>
    <t>Rakesh Pandey</t>
  </si>
  <si>
    <t>rakesh@gmail.com</t>
  </si>
  <si>
    <t>9876543229</t>
  </si>
  <si>
    <t>Cust ID</t>
  </si>
  <si>
    <t>Customer</t>
  </si>
  <si>
    <t>Product ID</t>
  </si>
  <si>
    <t>Order ID</t>
  </si>
  <si>
    <t>Units Sold</t>
  </si>
  <si>
    <t>Date Purchased</t>
  </si>
  <si>
    <t>Uncle Joe's Prep Shop</t>
  </si>
  <si>
    <t xml:space="preserve">Alex The Analyst Apocolype Preppers </t>
  </si>
  <si>
    <t>Apocolypse Preppers United</t>
  </si>
  <si>
    <t>Prep4Anything Prepping Store</t>
  </si>
  <si>
    <t>Buyer ID</t>
  </si>
  <si>
    <t>Product ID Purchased</t>
  </si>
  <si>
    <t>Total Purchased</t>
  </si>
  <si>
    <t>Customer ID</t>
  </si>
  <si>
    <t>TX</t>
  </si>
  <si>
    <t>MI</t>
  </si>
  <si>
    <t>FL</t>
  </si>
  <si>
    <t>NY</t>
  </si>
  <si>
    <t>DE</t>
  </si>
  <si>
    <t>IL</t>
  </si>
  <si>
    <t>NC</t>
  </si>
  <si>
    <t>MN</t>
  </si>
  <si>
    <t>GeographyKey</t>
  </si>
  <si>
    <t>North City 1</t>
  </si>
  <si>
    <t>South City 2</t>
  </si>
  <si>
    <t>East City 3</t>
  </si>
  <si>
    <t>West City 4</t>
  </si>
  <si>
    <t>Central</t>
  </si>
  <si>
    <t>Central City 5</t>
  </si>
  <si>
    <t>North City 6</t>
  </si>
  <si>
    <t>South City 7</t>
  </si>
  <si>
    <t>East City 8</t>
  </si>
  <si>
    <t>West City 9</t>
  </si>
  <si>
    <t>Central City 10</t>
  </si>
  <si>
    <t>North City 11</t>
  </si>
  <si>
    <t>South City 12</t>
  </si>
  <si>
    <t>East City 13</t>
  </si>
  <si>
    <t>West City 14</t>
  </si>
  <si>
    <t>Central City 15</t>
  </si>
  <si>
    <t>North City 16</t>
  </si>
  <si>
    <t>South City 17</t>
  </si>
  <si>
    <t>East City 18</t>
  </si>
  <si>
    <t>West City 19</t>
  </si>
  <si>
    <t>Central City 20</t>
  </si>
  <si>
    <t>Egypt</t>
  </si>
  <si>
    <t>North City 21</t>
  </si>
  <si>
    <t>South City 22</t>
  </si>
  <si>
    <t>East City 23</t>
  </si>
  <si>
    <t>West City 24</t>
  </si>
  <si>
    <t>Central City 25</t>
  </si>
  <si>
    <t>UAE</t>
  </si>
  <si>
    <t>North City 26</t>
  </si>
  <si>
    <t>South City 27</t>
  </si>
  <si>
    <t>East City 28</t>
  </si>
  <si>
    <t>West City 29</t>
  </si>
  <si>
    <t>Central City 30</t>
  </si>
  <si>
    <t>Saudi Arabia</t>
  </si>
  <si>
    <t>North City 31</t>
  </si>
  <si>
    <t>South City 32</t>
  </si>
  <si>
    <t>East City 33</t>
  </si>
  <si>
    <t>West City 34</t>
  </si>
  <si>
    <t>Central City 35</t>
  </si>
  <si>
    <t>North City 36</t>
  </si>
  <si>
    <t>South City 37</t>
  </si>
  <si>
    <t>East City 38</t>
  </si>
  <si>
    <t>West City 39</t>
  </si>
  <si>
    <t>Central City 40</t>
  </si>
  <si>
    <t>EmployeeKey</t>
  </si>
  <si>
    <t>EmployeeName</t>
  </si>
  <si>
    <t>HireDate</t>
  </si>
  <si>
    <t>Role</t>
  </si>
  <si>
    <t>Youssef El-Sayed</t>
  </si>
  <si>
    <t>Support</t>
  </si>
  <si>
    <t>Fatima Abdallah</t>
  </si>
  <si>
    <t>Warehouse</t>
  </si>
  <si>
    <t>Nora Kamal</t>
  </si>
  <si>
    <t>Ali Kamal</t>
  </si>
  <si>
    <t>Sales Rep</t>
  </si>
  <si>
    <t>Mona El-Sayed</t>
  </si>
  <si>
    <t>Hassan El-Sayed</t>
  </si>
  <si>
    <t>Digital Marketing</t>
  </si>
  <si>
    <t>Hassan Garcia</t>
  </si>
  <si>
    <t>Nora Omarson</t>
  </si>
  <si>
    <t>Ali Johnson</t>
  </si>
  <si>
    <t>John Smith</t>
  </si>
  <si>
    <t>Fatima Garcia</t>
  </si>
  <si>
    <t>Ali Hassan</t>
  </si>
  <si>
    <t>Mohamed Garcia</t>
  </si>
  <si>
    <t>Khaled Smith</t>
  </si>
  <si>
    <t>Ali Lee</t>
  </si>
  <si>
    <t>Ahmed Ibrahim</t>
  </si>
  <si>
    <t>Sara Lee</t>
  </si>
  <si>
    <t>Ali Omarson</t>
  </si>
  <si>
    <t>Omar El-Sayed</t>
  </si>
  <si>
    <t>Omar Lee</t>
  </si>
  <si>
    <t>Ahmed Garcia</t>
  </si>
  <si>
    <t>Ali Brown</t>
  </si>
  <si>
    <t>Fatima Johnson</t>
  </si>
  <si>
    <t>Ali El-Sayed</t>
  </si>
  <si>
    <t>Sara Abdallah</t>
  </si>
  <si>
    <t>Lina Garcia</t>
  </si>
  <si>
    <t>Fatima Lee</t>
  </si>
  <si>
    <t>Nora Abdallah</t>
  </si>
  <si>
    <t>Omar Hassan</t>
  </si>
  <si>
    <t>Hassan Brown</t>
  </si>
  <si>
    <t>Lina El-Sayed</t>
  </si>
  <si>
    <t>Mona Garcia</t>
  </si>
  <si>
    <t>Nora Brown</t>
  </si>
  <si>
    <t>Mohamed Hassan</t>
  </si>
  <si>
    <t>Ali Ibrahim</t>
  </si>
  <si>
    <t>Khaled Hassan</t>
  </si>
  <si>
    <t>John Johnson</t>
  </si>
  <si>
    <t>Nora Garcia</t>
  </si>
  <si>
    <t>Lina Lee</t>
  </si>
  <si>
    <t>John Kamal</t>
  </si>
  <si>
    <t>Lina Smith</t>
  </si>
  <si>
    <t>Nora Hassan</t>
  </si>
  <si>
    <t>Hassan Smith</t>
  </si>
  <si>
    <t>John Brown</t>
  </si>
  <si>
    <t>Sara Smith</t>
  </si>
  <si>
    <t>CONCAT Formula</t>
  </si>
  <si>
    <t>len with if</t>
  </si>
  <si>
    <t>sum</t>
  </si>
  <si>
    <t>sumif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</si>
</sst>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8"/>
      <color theme="1"/>
      <name val="Calibri Light"/>
      <family val="2"/>
      <scheme val="major"/>
    </font>
    <font>
      <sz val="24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/>
    <xf numFmtId="0" fontId="6" fillId="0" borderId="0"/>
    <xf numFmtId="0" fontId="7" fillId="0" borderId="0"/>
    <xf numFmtId="0" fontId="4" fillId="3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6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1"/>
    <xf numFmtId="0" fontId="7" fillId="0" borderId="0" xfId="2"/>
    <xf numFmtId="0" fontId="8" fillId="2" borderId="0" xfId="2" applyFont="1" applyFill="1" applyAlignment="1">
      <alignment horizontal="left" vertical="center"/>
    </xf>
    <xf numFmtId="14" fontId="7" fillId="0" borderId="0" xfId="2" applyNumberFormat="1" applyAlignment="1">
      <alignment horizontal="left"/>
    </xf>
    <xf numFmtId="0" fontId="7" fillId="0" borderId="0" xfId="2" applyProtection="1">
      <protection locked="0"/>
    </xf>
    <xf numFmtId="14" fontId="7" fillId="0" borderId="0" xfId="2" applyNumberFormat="1"/>
    <xf numFmtId="2" fontId="0" fillId="0" borderId="0" xfId="0" applyNumberFormat="1"/>
    <xf numFmtId="1" fontId="0" fillId="0" borderId="0" xfId="0" applyNumberFormat="1"/>
    <xf numFmtId="0" fontId="0" fillId="4" borderId="7" xfId="0" applyFont="1" applyFill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</cellXfs>
  <cellStyles count="5">
    <cellStyle name="Normal" xfId="0" builtinId="0"/>
    <cellStyle name="Normal 2" xfId="1" xr:uid="{789A564C-6473-49EB-906A-D5A0EDB7F912}"/>
    <cellStyle name="Normal 3" xfId="2" xr:uid="{C761EE80-83FA-4464-8824-A7DD8865969D}"/>
    <cellStyle name="Style 1" xfId="3" xr:uid="{9E9CDF16-2B6F-4A91-BBDF-3E770F469D5F}"/>
    <cellStyle name="Style 2" xfId="4" xr:uid="{8133328A-C508-4E9E-AE1A-13479D10E2C5}"/>
  </cellStyles>
  <dxfs count="50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</dxf>
    <dxf>
      <numFmt numFmtId="19" formatCode="m/d/yyyy"/>
    </dxf>
    <dxf>
      <numFmt numFmtId="1" formatCode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numFmt numFmtId="19" formatCode="m/d/yyyy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9" tint="0.39997558519241921"/>
        </right>
        <top style="thin">
          <color theme="9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 tint="0.39997558519241921"/>
        </left>
        <right/>
        <top style="thin">
          <color theme="9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D70F54-5200-49FF-9C75-31B3B824C895}" name="Table1" displayName="Table1" ref="A1:G101" totalsRowShown="0" headerRowDxfId="49" dataDxfId="48">
  <autoFilter ref="A1:G101" xr:uid="{03D70F54-5200-49FF-9C75-31B3B824C895}"/>
  <tableColumns count="7">
    <tableColumn id="1" xr3:uid="{31E0E37E-6DA1-4D5C-AE5C-FBFA0CC675BE}" name="Insitute id " dataDxfId="47"/>
    <tableColumn id="2" xr3:uid="{52B8FBE0-E9A3-45A0-A966-C1265B31C561}" name="Name" dataDxfId="46"/>
    <tableColumn id="3" xr3:uid="{98BFC96C-D207-4182-BED2-479BF45BCEED}" name="City " dataDxfId="45"/>
    <tableColumn id="4" xr3:uid="{9ED1BE24-62C1-49E6-AA71-85B8AABD01E8}" name="State" dataDxfId="44"/>
    <tableColumn id="5" xr3:uid="{C0B07C5F-0D0C-45ED-99D8-F7EDF3CCE2C0}" name="Score" dataDxfId="43"/>
    <tableColumn id="6" xr3:uid="{B1D6DD5E-045F-4701-B653-D2DFD72395C0}" name="Rank" dataDxfId="42"/>
    <tableColumn id="7" xr3:uid="{53E5A8F5-21E1-4A55-B92C-331D93781318}" name="College name" dataDxfId="41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157671-1BFE-4411-9A23-568315304E16}" name="Table13" displayName="Table13" ref="A1:R11" totalsRowShown="0" headerRowDxfId="19" dataDxfId="18">
  <autoFilter ref="A1:R11" xr:uid="{CC157671-1BFE-4411-9A23-568315304E16}"/>
  <tableColumns count="18">
    <tableColumn id="1" xr3:uid="{41314AEC-CA6B-48C4-8EFC-87EBE33388DA}" name="OrderID" dataDxfId="17"/>
    <tableColumn id="2" xr3:uid="{32D11A1F-59E1-4AA2-AD1B-35338736CE9A}" name="OrderDate" dataDxfId="16"/>
    <tableColumn id="3" xr3:uid="{1FE1708E-F0D5-49FA-AFAF-4FCE4686E5DD}" name="Region" dataDxfId="15"/>
    <tableColumn id="4" xr3:uid="{38081C1D-7177-4B31-BF0D-06A5504F3DCA}" name="Country" dataDxfId="14"/>
    <tableColumn id="5" xr3:uid="{8D1698BA-F3ED-4136-921C-588E843C1377}" name="State" dataDxfId="13"/>
    <tableColumn id="6" xr3:uid="{F6A914A2-2174-4F33-8263-A25017869A0A}" name="City" dataDxfId="12"/>
    <tableColumn id="7" xr3:uid="{7BCE8541-6479-4294-8177-289762052C4F}" name="Category" dataDxfId="11"/>
    <tableColumn id="8" xr3:uid="{A852A9CD-E497-4C56-B08C-3B0BE3C0E4A0}" name="SubCategory" dataDxfId="10"/>
    <tableColumn id="9" xr3:uid="{7A527925-51EB-4D0E-B110-7B9C613DD314}" name="Product" dataDxfId="9"/>
    <tableColumn id="10" xr3:uid="{6A10E1B6-9E6C-4AF6-BFB6-91C5DCC738C0}" name="Sales" dataDxfId="8"/>
    <tableColumn id="11" xr3:uid="{2AD711AB-25FC-4CC9-90AF-9C125C3E4DAB}" name="Quantity" dataDxfId="7"/>
    <tableColumn id="12" xr3:uid="{EF2063AB-8DDD-483E-B1E3-431B0FC2E64A}" name="Discount" dataDxfId="6"/>
    <tableColumn id="13" xr3:uid="{DC1BAEAA-A97B-4508-AAF3-1A1379831556}" name="Profit" dataDxfId="5"/>
    <tableColumn id="14" xr3:uid="{1DC95E6E-F56C-4B9E-BCD1-8290E1DEF965}" name="CustomerGender" dataDxfId="4"/>
    <tableColumn id="15" xr3:uid="{125BE626-5A4C-44F6-A027-31157744BAED}" name="PaymentMode" dataDxfId="3"/>
    <tableColumn id="16" xr3:uid="{DA8684FF-E7E4-4A97-85C3-96A784D91AA1}" name="SalesChannel" dataDxfId="2"/>
    <tableColumn id="17" xr3:uid="{E98CD658-177B-42AA-91E6-18C7443FF5E6}" name="CONCAT Formula" dataDxfId="1">
      <calculatedColumnFormula>_xlfn.CONCAT(G2,"-",H2)</calculatedColumnFormula>
    </tableColumn>
    <tableColumn id="18" xr3:uid="{0A19FAD5-60B3-4D46-B1D8-4E2E3FD2685F}" name="len with if" dataDxfId="0">
      <calculatedColumnFormula>IF(LEN(J2)&gt;4,"Profit","Loss")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7F4AFC-5FA0-4C76-9F14-88A8A4705D76}" name="Table14" displayName="Table14" ref="A1:F11" totalsRowShown="0" headerRowDxfId="40" dataDxfId="39">
  <autoFilter ref="A1:F11" xr:uid="{4B7F4AFC-5FA0-4C76-9F14-88A8A4705D76}"/>
  <tableColumns count="6">
    <tableColumn id="1" xr3:uid="{1D9DD483-A67C-4006-9E31-B3AFDA0C1FD9}" name="Transaction_ID" dataDxfId="38"/>
    <tableColumn id="2" xr3:uid="{5FD19B0A-E406-498A-A66E-4E9E75FE5E6A}" name="Customer Name" dataDxfId="37"/>
    <tableColumn id="3" xr3:uid="{26D7CAF8-329B-450A-90D7-83FBC898A373}" name="Purchase_Date" dataDxfId="36"/>
    <tableColumn id="4" xr3:uid="{3C9C0ED4-B0B6-461D-9C06-1705F3ECAD67}" name="Product_Category" dataDxfId="35"/>
    <tableColumn id="5" xr3:uid="{471C49C3-1C01-4C31-8236-07B1DF353C7A}" name="Amount" dataDxfId="34"/>
    <tableColumn id="6" xr3:uid="{52728AA1-8AE0-4701-B343-618D788966B4}" name="Country" dataDxfId="3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154FA6E-13A0-4374-971B-29FE2047FDE2}" name="Table4" displayName="Table4" ref="A1:E21" totalsRowShown="0">
  <autoFilter ref="A1:E21" xr:uid="{2154FA6E-13A0-4374-971B-29FE2047FDE2}"/>
  <tableColumns count="5">
    <tableColumn id="1" xr3:uid="{762B199F-FA58-47D9-B17C-7F0A77DD0846}" name="SaleID"/>
    <tableColumn id="2" xr3:uid="{FDEE079A-61AC-4B5E-9710-9238EBFFAA47}" name="Date" dataDxfId="32"/>
    <tableColumn id="3" xr3:uid="{3D4DE5E6-1691-4FFA-9A5F-89C8F9946659}" name="CustomerID"/>
    <tableColumn id="4" xr3:uid="{D13C74B1-CEFF-42E8-B9E6-2A9F19114274}" name="ProductID"/>
    <tableColumn id="5" xr3:uid="{3278CFB6-5C17-4F33-AD98-40E880D39577}" name="Quantit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BFABA67-9B0B-408F-8E4D-AFFD2CE88CA1}" name="Table5" displayName="Table5" ref="A1:E9" totalsRowShown="0">
  <autoFilter ref="A1:E9" xr:uid="{4BFABA67-9B0B-408F-8E4D-AFFD2CE88CA1}"/>
  <tableColumns count="5">
    <tableColumn id="1" xr3:uid="{A8F1A56F-C110-4298-AB90-276914D80FC5}" name="ProductID"/>
    <tableColumn id="2" xr3:uid="{F9FDC654-3E64-4251-9B83-75E56782463A}" name="ProductName"/>
    <tableColumn id="3" xr3:uid="{62FB141E-F61C-4D2D-BD3C-9522754D34F3}" name="Category"/>
    <tableColumn id="4" xr3:uid="{F713A5AC-FA27-4A38-8686-B69FCB9A019C}" name="Brand"/>
    <tableColumn id="5" xr3:uid="{349F84E4-93F3-4C86-9C2B-9D4C33BE5960}" name="Pri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F9EF20A-0779-48FE-9E90-CED973C615A2}" name="Table6" displayName="Table6" ref="A1:G53" totalsRowShown="0" headerRowDxfId="31" dataDxfId="30">
  <autoFilter ref="A1:G53" xr:uid="{4F9EF20A-0779-48FE-9E90-CED973C615A2}"/>
  <tableColumns count="7">
    <tableColumn id="1" xr3:uid="{02F39FBB-7DED-471C-B08A-84B7DC2B05E0}" name="Employee ID" dataDxfId="29"/>
    <tableColumn id="2" xr3:uid="{6869EC73-0B54-49FD-828B-F64BF8D702F2}" name="Employee Name" dataDxfId="28"/>
    <tableColumn id="3" xr3:uid="{C094E3BB-373B-4701-B41A-8CE495B689A2}" name="Department" dataDxfId="27"/>
    <tableColumn id="4" xr3:uid="{E06503C3-F46D-4131-9BE8-8A05481205B5}" name="Designation" dataDxfId="26"/>
    <tableColumn id="5" xr3:uid="{E0C064B7-B5D3-4D4E-A087-8273EE258F47}" name="Salary" dataDxfId="25"/>
    <tableColumn id="6" xr3:uid="{89483F7C-8F70-46F9-A096-AF598E7124D7}" name="Joining Date" dataDxfId="24"/>
    <tableColumn id="7" xr3:uid="{271AD992-0562-487A-A6D2-15251E7D5860}" name="Location" dataDxfId="2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87D4B59-318C-4A18-B818-57CC9E5421DF}" name="Table8" displayName="Table8" ref="A1:I49" totalsRowShown="0">
  <autoFilter ref="A1:I49" xr:uid="{787D4B59-318C-4A18-B818-57CC9E5421DF}"/>
  <tableColumns count="9">
    <tableColumn id="1" xr3:uid="{0A8B3413-34F6-44F3-A6A6-E8924B832094}" name="Model"/>
    <tableColumn id="2" xr3:uid="{E72D700F-0E46-4BAB-8FE8-2D5574AD7F19}" name="ItemsSold"/>
    <tableColumn id="3" xr3:uid="{932C6658-C400-4D80-B1D7-09E8C8BD3953}" name="Gender"/>
    <tableColumn id="4" xr3:uid="{75928F3B-37A6-48DF-951C-98C366643E14}" name="PaymentMode"/>
    <tableColumn id="5" xr3:uid="{9C642449-77D0-4C84-A6B9-93CB87A417F0}" name="AgeGroup"/>
    <tableColumn id="6" xr3:uid="{1BF769AA-25F0-4F3E-A1A1-3A9348B95151}" name="Region"/>
    <tableColumn id="7" xr3:uid="{69951E6C-5DC3-4C51-B388-289D513964F9}" name="PurchaseChannel"/>
    <tableColumn id="8" xr3:uid="{9F220F6F-111D-4500-A507-12D27BA20FE9}" name="Month"/>
    <tableColumn id="9" xr3:uid="{7F53D751-29ED-48C3-9BFA-53E7B3A3EF57}" name="Yea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ABD9DA7-B6F0-40F8-8A47-D2743EBF2100}" name="Table9" displayName="Table9" ref="A1:G189" totalsRowShown="0">
  <autoFilter ref="A1:G189" xr:uid="{1ABD9DA7-B6F0-40F8-8A47-D2743EBF2100}"/>
  <tableColumns count="7">
    <tableColumn id="1" xr3:uid="{F9885941-60AD-4BF1-A740-D4B20C91F090}" name="Column1"/>
    <tableColumn id="2" xr3:uid="{F5BD79A6-BCE0-4A50-B971-6B5BD7E8FC37}" name="Column2"/>
    <tableColumn id="3" xr3:uid="{713AF3B6-5AD3-4736-A4A9-407DFA433333}" name="Column3"/>
    <tableColumn id="4" xr3:uid="{623E4100-6F83-48D4-B077-DA98DC731A7B}" name="Column4"/>
    <tableColumn id="5" xr3:uid="{827BA6B0-F27D-4DB9-94CD-235AE204453E}" name="Column5"/>
    <tableColumn id="6" xr3:uid="{25C5693F-7E9A-4866-ABA2-673702E7EB48}" name="Column6"/>
    <tableColumn id="7" xr3:uid="{CB3F3AD0-7295-4D7B-A8AF-00045FC866FC}" name="Column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AC8B8B1-B0C4-40F7-8982-5DE70DC0C920}" name="Table10" displayName="Table10" ref="A1:J11" totalsRowShown="0">
  <autoFilter ref="A1:J11" xr:uid="{9AC8B8B1-B0C4-40F7-8982-5DE70DC0C920}"/>
  <tableColumns count="10">
    <tableColumn id="1" xr3:uid="{49D814D9-5517-48D3-95C2-365B49239911}" name="EmployeeID"/>
    <tableColumn id="2" xr3:uid="{618EBFD4-7FF9-483B-B31A-9E483C5A648A}" name="Name"/>
    <tableColumn id="3" xr3:uid="{FA53CF67-5038-45AB-B7F0-D485CC0E20A3}" name="Department"/>
    <tableColumn id="4" xr3:uid="{1A8213EB-A555-446E-A713-234F088E8D6E}" name="City"/>
    <tableColumn id="5" xr3:uid="{BB9F56FC-7A1E-4BF2-B65C-E64BF68F3C9D}" name="Gender"/>
    <tableColumn id="6" xr3:uid="{E5FF1DC1-C731-44F7-BE9F-A26A8926C07C}" name="Salary"/>
    <tableColumn id="7" xr3:uid="{6A7F8323-4443-4A2F-B3D5-0061D1115C35}" name="Manager"/>
    <tableColumn id="8" xr3:uid="{6D44A6AD-8007-416E-88F6-48E8EB8BD962}" name="Performance Rating"/>
    <tableColumn id="9" xr3:uid="{3D83AFC9-3B1A-4802-ABD6-22697B90A62A}" name="Joining Date"/>
    <tableColumn id="10" xr3:uid="{10DFFA46-1B09-46D4-81F2-84F2026BC76A}" name="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C34B7EA-8007-4DF6-B1AC-B76635C69F46}" name="Table11" displayName="Table11" ref="A1:E21" totalsRowShown="0">
  <autoFilter ref="A1:E21" xr:uid="{4C34B7EA-8007-4DF6-B1AC-B76635C69F46}"/>
  <tableColumns count="5">
    <tableColumn id="1" xr3:uid="{2AD07CCC-E8A0-45D1-8EFF-496B69374ADD}" name="ID"/>
    <tableColumn id="2" xr3:uid="{DE6E22D8-4C56-4346-9733-9C1034298219}" name="Name"/>
    <tableColumn id="3" xr3:uid="{99F77D5A-FAF2-4C13-946A-58FCCB9DA26A}" name="Age"/>
    <tableColumn id="4" xr3:uid="{202E8789-0B7E-4E8D-9853-F348A4EC87AE}" name="Email"/>
    <tableColumn id="5" xr3:uid="{51F6144F-543D-4FC3-830B-7611DE0695DC}" name="ContactNo" dataDxfId="2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AF57968-CBA3-4FDF-9D87-6526BD28629C}" name="Table12" displayName="Table12" ref="A1:F75" totalsRowShown="0">
  <autoFilter ref="A1:F75" xr:uid="{FAF57968-CBA3-4FDF-9D87-6526BD28629C}"/>
  <tableColumns count="6">
    <tableColumn id="1" xr3:uid="{C210E0A0-EB5F-4D37-AA4A-A9DEA12E9097}" name="Cust ID"/>
    <tableColumn id="2" xr3:uid="{F7229B9F-CD50-4636-A1CE-5807CD507E20}" name="Customer"/>
    <tableColumn id="3" xr3:uid="{957A7692-C83A-4B92-B7C8-79A3A5B7055B}" name="Product ID"/>
    <tableColumn id="4" xr3:uid="{519738B8-3751-4245-BFA3-3C02CD3A608D}" name="Order ID"/>
    <tableColumn id="5" xr3:uid="{4C16D3AA-B51B-41B1-87D5-B57E98E28F0E}" name="Units Sold"/>
    <tableColumn id="6" xr3:uid="{B6D2DC37-0C17-4EDA-B53A-69DF7A06B6FD}" name="Date Purchased" dataDxfId="2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73CE572-8C8F-4267-9561-0DC772C09F45}" name="Table17" displayName="Table17" ref="A1:F51" totalsRowShown="0">
  <autoFilter ref="A1:F51" xr:uid="{F73CE572-8C8F-4267-9561-0DC772C09F45}"/>
  <tableColumns count="6">
    <tableColumn id="1" xr3:uid="{AC722FC5-B74C-4FA3-B4CC-9F9007688EF7}" name="Buyer ID"/>
    <tableColumn id="2" xr3:uid="{2AF0C632-7A71-4D29-8BF4-1A4FB10BD2D9}" name="Product ID Purchased"/>
    <tableColumn id="3" xr3:uid="{EEDA727F-FCA8-4B9F-8671-5EE02EDEAEBF}" name="Total Purchased"/>
    <tableColumn id="4" xr3:uid="{DE26ED91-EE58-4E27-8044-9DBD78662633}" name="State"/>
    <tableColumn id="5" xr3:uid="{E90C29CC-AA68-4EDE-9178-C57260379414}" name="Age"/>
    <tableColumn id="6" xr3:uid="{8C6FA5A1-B76A-4D37-B857-7880D3A41EA4}" name="Customer ID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DAC7816-7619-4DF3-A7E9-38478220675F}" name="Table16" displayName="Table16" ref="A1:D41" totalsRowShown="0">
  <autoFilter ref="A1:D41" xr:uid="{0DAC7816-7619-4DF3-A7E9-38478220675F}"/>
  <tableColumns count="4">
    <tableColumn id="1" xr3:uid="{0251CBD3-CB44-4271-A835-6A71D6B4810B}" name="GeographyKey"/>
    <tableColumn id="2" xr3:uid="{F187710F-AA10-4970-9C44-9EAA95C2D138}" name="Country"/>
    <tableColumn id="3" xr3:uid="{9F6C6192-7330-4954-9162-3577BA6870E5}" name="Region"/>
    <tableColumn id="4" xr3:uid="{0100EA64-C48A-4850-AA08-A6CA973FFBB2}" name="City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B160BCE-C9BE-4BF3-9A86-FE3F4387C9C6}" name="Table15" displayName="Table15" ref="A1:E51" totalsRowShown="0">
  <autoFilter ref="A1:E51" xr:uid="{0B160BCE-C9BE-4BF3-9A86-FE3F4387C9C6}"/>
  <tableColumns count="5">
    <tableColumn id="1" xr3:uid="{AA60EBFE-D9FE-4AEC-A26E-8EEF61CF5648}" name="EmployeeKey"/>
    <tableColumn id="2" xr3:uid="{FA828AF1-6B94-450A-BDB4-4F125B5CEDAC}" name="EmployeeName"/>
    <tableColumn id="3" xr3:uid="{7971CBC5-B266-4A8A-B88C-260BC87E62D5}" name="HireDate" dataDxfId="20"/>
    <tableColumn id="4" xr3:uid="{7AB66776-2A0B-4A27-89CF-AADE43B7C0D0}" name="Role"/>
    <tableColumn id="5" xr3:uid="{F986DA68-7C0A-4CF5-B244-1ED6C698629E}" name="Geography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opLeftCell="B1" zoomScale="43" workbookViewId="0">
      <selection activeCell="B20" sqref="B20"/>
    </sheetView>
  </sheetViews>
  <sheetFormatPr defaultRowHeight="14.4" x14ac:dyDescent="0.3"/>
  <cols>
    <col min="1" max="1" width="14.21875" bestFit="1" customWidth="1"/>
    <col min="2" max="2" width="147.5546875" bestFit="1" customWidth="1"/>
    <col min="3" max="3" width="18.109375" bestFit="1" customWidth="1"/>
    <col min="4" max="4" width="11.44140625" bestFit="1" customWidth="1"/>
    <col min="5" max="5" width="10.109375" bestFit="1" customWidth="1"/>
    <col min="6" max="6" width="9.6640625" bestFit="1" customWidth="1"/>
    <col min="7" max="7" width="61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 t="s">
        <v>7</v>
      </c>
      <c r="B2" s="4" t="s">
        <v>8</v>
      </c>
      <c r="C2" s="4" t="s">
        <v>9</v>
      </c>
      <c r="D2" s="4" t="s">
        <v>9</v>
      </c>
      <c r="E2" s="4">
        <v>84.01</v>
      </c>
      <c r="F2" s="5">
        <v>1</v>
      </c>
      <c r="G2" s="2" t="str">
        <f t="shared" ref="G2:G65" si="0">LEFT(B2,FIND("More DetailsClose",B2)-1)</f>
        <v>Hindu College</v>
      </c>
    </row>
    <row r="3" spans="1:7" x14ac:dyDescent="0.3">
      <c r="A3" s="3" t="s">
        <v>10</v>
      </c>
      <c r="B3" s="4" t="s">
        <v>11</v>
      </c>
      <c r="C3" s="4" t="s">
        <v>9</v>
      </c>
      <c r="D3" s="4" t="s">
        <v>9</v>
      </c>
      <c r="E3" s="4">
        <v>83.2</v>
      </c>
      <c r="F3" s="5">
        <v>2</v>
      </c>
      <c r="G3" s="2" t="str">
        <f t="shared" si="0"/>
        <v>Miranda House</v>
      </c>
    </row>
    <row r="4" spans="1:7" x14ac:dyDescent="0.3">
      <c r="A4" s="3" t="s">
        <v>12</v>
      </c>
      <c r="B4" s="4" t="s">
        <v>13</v>
      </c>
      <c r="C4" s="4" t="s">
        <v>9</v>
      </c>
      <c r="D4" s="4" t="s">
        <v>9</v>
      </c>
      <c r="E4" s="4">
        <v>81.75</v>
      </c>
      <c r="F4" s="5">
        <v>3</v>
      </c>
      <c r="G4" s="2" t="str">
        <f t="shared" si="0"/>
        <v>Hans Raj College</v>
      </c>
    </row>
    <row r="5" spans="1:7" x14ac:dyDescent="0.3">
      <c r="A5" s="3" t="s">
        <v>14</v>
      </c>
      <c r="B5" s="4" t="s">
        <v>15</v>
      </c>
      <c r="C5" s="4" t="s">
        <v>9</v>
      </c>
      <c r="D5" s="4" t="s">
        <v>9</v>
      </c>
      <c r="E5" s="4">
        <v>80.33</v>
      </c>
      <c r="F5" s="5">
        <v>4</v>
      </c>
      <c r="G5" s="2" t="str">
        <f t="shared" si="0"/>
        <v>Kirori Mal College</v>
      </c>
    </row>
    <row r="6" spans="1:7" x14ac:dyDescent="0.3">
      <c r="A6" s="3" t="s">
        <v>16</v>
      </c>
      <c r="B6" s="4" t="s">
        <v>17</v>
      </c>
      <c r="C6" s="4" t="s">
        <v>9</v>
      </c>
      <c r="D6" s="4" t="s">
        <v>9</v>
      </c>
      <c r="E6" s="4">
        <v>79.41</v>
      </c>
      <c r="F6" s="5">
        <v>5</v>
      </c>
      <c r="G6" s="2" t="str">
        <f t="shared" si="0"/>
        <v>St. Stephens's College</v>
      </c>
    </row>
    <row r="7" spans="1:7" x14ac:dyDescent="0.3">
      <c r="A7" s="3" t="s">
        <v>18</v>
      </c>
      <c r="B7" s="4" t="s">
        <v>19</v>
      </c>
      <c r="C7" s="4" t="s">
        <v>20</v>
      </c>
      <c r="D7" s="4" t="s">
        <v>21</v>
      </c>
      <c r="E7" s="4">
        <v>76.739999999999995</v>
      </c>
      <c r="F7" s="5">
        <v>6</v>
      </c>
      <c r="G7" s="2" t="str">
        <f t="shared" si="0"/>
        <v>Rama Krishna Mission Vivekananda Centenary College</v>
      </c>
    </row>
    <row r="8" spans="1:7" x14ac:dyDescent="0.3">
      <c r="A8" s="3" t="s">
        <v>22</v>
      </c>
      <c r="B8" s="4" t="s">
        <v>23</v>
      </c>
      <c r="C8" s="4" t="s">
        <v>24</v>
      </c>
      <c r="D8" s="4" t="s">
        <v>9</v>
      </c>
      <c r="E8" s="4">
        <v>76.09</v>
      </c>
      <c r="F8" s="5">
        <v>7</v>
      </c>
      <c r="G8" s="2" t="str">
        <f t="shared" si="0"/>
        <v>Atma Ram Sanatan Dharm College</v>
      </c>
    </row>
    <row r="9" spans="1:7" x14ac:dyDescent="0.3">
      <c r="A9" s="3" t="s">
        <v>25</v>
      </c>
      <c r="B9" s="4" t="s">
        <v>26</v>
      </c>
      <c r="C9" s="4" t="s">
        <v>20</v>
      </c>
      <c r="D9" s="4" t="s">
        <v>21</v>
      </c>
      <c r="E9" s="4">
        <v>76.069999999999993</v>
      </c>
      <c r="F9" s="5">
        <v>8</v>
      </c>
      <c r="G9" s="2" t="str">
        <f t="shared" si="0"/>
        <v>St. Xavier`s College</v>
      </c>
    </row>
    <row r="10" spans="1:7" x14ac:dyDescent="0.3">
      <c r="A10" s="3" t="s">
        <v>27</v>
      </c>
      <c r="B10" s="4" t="s">
        <v>28</v>
      </c>
      <c r="C10" s="4" t="s">
        <v>29</v>
      </c>
      <c r="D10" s="4" t="s">
        <v>30</v>
      </c>
      <c r="E10" s="4">
        <v>75.52</v>
      </c>
      <c r="F10" s="5">
        <v>9</v>
      </c>
      <c r="G10" s="2" t="str">
        <f t="shared" si="0"/>
        <v>PSGR Krishnammal College for Women</v>
      </c>
    </row>
    <row r="11" spans="1:7" x14ac:dyDescent="0.3">
      <c r="A11" s="3" t="s">
        <v>31</v>
      </c>
      <c r="B11" s="4" t="s">
        <v>32</v>
      </c>
      <c r="C11" s="4" t="s">
        <v>29</v>
      </c>
      <c r="D11" s="4" t="s">
        <v>30</v>
      </c>
      <c r="E11" s="4">
        <v>73.150000000000006</v>
      </c>
      <c r="F11" s="5">
        <v>10</v>
      </c>
      <c r="G11" s="2" t="str">
        <f t="shared" si="0"/>
        <v>PSG College of Arts and Science</v>
      </c>
    </row>
    <row r="12" spans="1:7" x14ac:dyDescent="0.3">
      <c r="A12" s="3" t="s">
        <v>33</v>
      </c>
      <c r="B12" s="4" t="s">
        <v>34</v>
      </c>
      <c r="C12" s="4" t="s">
        <v>9</v>
      </c>
      <c r="D12" s="4" t="s">
        <v>9</v>
      </c>
      <c r="E12" s="4">
        <v>72.61</v>
      </c>
      <c r="F12" s="5">
        <v>11</v>
      </c>
      <c r="G12" s="2" t="str">
        <f t="shared" si="0"/>
        <v>Sri Venkateswara College</v>
      </c>
    </row>
    <row r="13" spans="1:7" x14ac:dyDescent="0.3">
      <c r="A13" s="3" t="s">
        <v>35</v>
      </c>
      <c r="B13" s="4" t="s">
        <v>36</v>
      </c>
      <c r="C13" s="4" t="s">
        <v>37</v>
      </c>
      <c r="D13" s="4" t="s">
        <v>38</v>
      </c>
      <c r="E13" s="4">
        <v>71.72</v>
      </c>
      <c r="F13" s="5">
        <v>12</v>
      </c>
      <c r="G13" s="2" t="str">
        <f t="shared" si="0"/>
        <v>Rajagiri College of Social Sciences</v>
      </c>
    </row>
    <row r="14" spans="1:7" x14ac:dyDescent="0.3">
      <c r="A14" s="3" t="s">
        <v>39</v>
      </c>
      <c r="B14" s="4" t="s">
        <v>40</v>
      </c>
      <c r="C14" s="4" t="s">
        <v>24</v>
      </c>
      <c r="D14" s="4" t="s">
        <v>9</v>
      </c>
      <c r="E14" s="4">
        <v>71.260000000000005</v>
      </c>
      <c r="F14" s="5">
        <v>13</v>
      </c>
      <c r="G14" s="2" t="str">
        <f t="shared" si="0"/>
        <v>Deshbandhu College</v>
      </c>
    </row>
    <row r="15" spans="1:7" x14ac:dyDescent="0.3">
      <c r="A15" s="3" t="s">
        <v>41</v>
      </c>
      <c r="B15" s="4" t="s">
        <v>42</v>
      </c>
      <c r="C15" s="4" t="s">
        <v>43</v>
      </c>
      <c r="D15" s="4" t="s">
        <v>30</v>
      </c>
      <c r="E15" s="4">
        <v>71.14</v>
      </c>
      <c r="F15" s="5">
        <v>14</v>
      </c>
      <c r="G15" s="2" t="str">
        <f t="shared" si="0"/>
        <v>Loyola College</v>
      </c>
    </row>
    <row r="16" spans="1:7" x14ac:dyDescent="0.3">
      <c r="A16" s="3" t="s">
        <v>44</v>
      </c>
      <c r="B16" s="4" t="s">
        <v>45</v>
      </c>
      <c r="C16" s="4" t="s">
        <v>43</v>
      </c>
      <c r="D16" s="4" t="s">
        <v>30</v>
      </c>
      <c r="E16" s="4">
        <v>70.62</v>
      </c>
      <c r="F16" s="5">
        <v>15</v>
      </c>
      <c r="G16" s="2" t="str">
        <f t="shared" si="0"/>
        <v>Presidency College</v>
      </c>
    </row>
    <row r="17" spans="1:7" x14ac:dyDescent="0.3">
      <c r="A17" s="3" t="s">
        <v>46</v>
      </c>
      <c r="B17" s="4" t="s">
        <v>47</v>
      </c>
      <c r="C17" s="4" t="s">
        <v>43</v>
      </c>
      <c r="D17" s="4" t="s">
        <v>30</v>
      </c>
      <c r="E17" s="4">
        <v>70.569999999999993</v>
      </c>
      <c r="F17" s="5">
        <v>16</v>
      </c>
      <c r="G17" s="2" t="str">
        <f t="shared" si="0"/>
        <v>Madras Christian College</v>
      </c>
    </row>
    <row r="18" spans="1:7" x14ac:dyDescent="0.3">
      <c r="A18" s="3" t="s">
        <v>48</v>
      </c>
      <c r="B18" s="4" t="s">
        <v>49</v>
      </c>
      <c r="C18" s="4" t="s">
        <v>24</v>
      </c>
      <c r="D18" s="4" t="s">
        <v>9</v>
      </c>
      <c r="E18" s="4">
        <v>69.87</v>
      </c>
      <c r="F18" s="5">
        <v>17</v>
      </c>
      <c r="G18" s="2" t="str">
        <f t="shared" si="0"/>
        <v>Lady Shri Ram College For Women</v>
      </c>
    </row>
    <row r="19" spans="1:7" x14ac:dyDescent="0.3">
      <c r="A19" s="3" t="s">
        <v>50</v>
      </c>
      <c r="B19" s="4" t="s">
        <v>51</v>
      </c>
      <c r="C19" s="4" t="s">
        <v>9</v>
      </c>
      <c r="D19" s="4" t="s">
        <v>9</v>
      </c>
      <c r="E19" s="4">
        <v>69.010000000000005</v>
      </c>
      <c r="F19" s="5">
        <v>18</v>
      </c>
      <c r="G19" s="2" t="str">
        <f t="shared" si="0"/>
        <v>Shri Ram College of Commerce</v>
      </c>
    </row>
    <row r="20" spans="1:7" x14ac:dyDescent="0.3">
      <c r="A20" s="3" t="s">
        <v>52</v>
      </c>
      <c r="B20" s="4" t="s">
        <v>53</v>
      </c>
      <c r="C20" s="4" t="s">
        <v>54</v>
      </c>
      <c r="D20" s="4" t="s">
        <v>21</v>
      </c>
      <c r="E20" s="4">
        <v>69</v>
      </c>
      <c r="F20" s="5">
        <v>19</v>
      </c>
      <c r="G20" s="2" t="str">
        <f t="shared" si="0"/>
        <v>Ramakrishna Mission Vidyamandira</v>
      </c>
    </row>
    <row r="21" spans="1:7" x14ac:dyDescent="0.3">
      <c r="A21" s="3" t="s">
        <v>55</v>
      </c>
      <c r="B21" s="4" t="s">
        <v>56</v>
      </c>
      <c r="C21" s="4" t="s">
        <v>57</v>
      </c>
      <c r="D21" s="4" t="s">
        <v>30</v>
      </c>
      <c r="E21" s="4">
        <v>68.930000000000007</v>
      </c>
      <c r="F21" s="5">
        <v>20</v>
      </c>
      <c r="G21" s="2" t="str">
        <f t="shared" si="0"/>
        <v>Thiagarajar College</v>
      </c>
    </row>
    <row r="22" spans="1:7" x14ac:dyDescent="0.3">
      <c r="A22" s="3" t="s">
        <v>58</v>
      </c>
      <c r="B22" s="4" t="s">
        <v>59</v>
      </c>
      <c r="C22" s="4" t="s">
        <v>24</v>
      </c>
      <c r="D22" s="4" t="s">
        <v>9</v>
      </c>
      <c r="E22" s="4">
        <v>68.209999999999994</v>
      </c>
      <c r="F22" s="5">
        <v>21</v>
      </c>
      <c r="G22" s="2" t="str">
        <f t="shared" si="0"/>
        <v>Acharya Narendra Dev College</v>
      </c>
    </row>
    <row r="23" spans="1:7" x14ac:dyDescent="0.3">
      <c r="A23" s="3" t="s">
        <v>60</v>
      </c>
      <c r="B23" s="4" t="s">
        <v>61</v>
      </c>
      <c r="C23" s="4" t="s">
        <v>62</v>
      </c>
      <c r="D23" s="4" t="s">
        <v>30</v>
      </c>
      <c r="E23" s="4">
        <v>67.27</v>
      </c>
      <c r="F23" s="5">
        <v>22</v>
      </c>
      <c r="G23" s="2" t="str">
        <f t="shared" si="0"/>
        <v>V.O. Chidambaram College</v>
      </c>
    </row>
    <row r="24" spans="1:7" x14ac:dyDescent="0.3">
      <c r="A24" s="3" t="s">
        <v>63</v>
      </c>
      <c r="B24" s="4" t="s">
        <v>64</v>
      </c>
      <c r="C24" s="4" t="s">
        <v>65</v>
      </c>
      <c r="D24" s="4" t="s">
        <v>38</v>
      </c>
      <c r="E24" s="4">
        <v>67.17</v>
      </c>
      <c r="F24" s="5">
        <v>23</v>
      </c>
      <c r="G24" s="2" t="str">
        <f t="shared" si="0"/>
        <v>University College, Thiruvananthapuram</v>
      </c>
    </row>
    <row r="25" spans="1:7" x14ac:dyDescent="0.3">
      <c r="A25" s="3" t="s">
        <v>66</v>
      </c>
      <c r="B25" s="4" t="s">
        <v>67</v>
      </c>
      <c r="C25" s="4" t="s">
        <v>20</v>
      </c>
      <c r="D25" s="4" t="s">
        <v>21</v>
      </c>
      <c r="E25" s="4">
        <v>66.81</v>
      </c>
      <c r="F25" s="5">
        <v>24</v>
      </c>
      <c r="G25" s="2" t="str">
        <f t="shared" si="0"/>
        <v>Ramakrishna Mission Residential College</v>
      </c>
    </row>
    <row r="26" spans="1:7" x14ac:dyDescent="0.3">
      <c r="A26" s="3" t="s">
        <v>68</v>
      </c>
      <c r="B26" s="4" t="s">
        <v>69</v>
      </c>
      <c r="C26" s="4" t="s">
        <v>70</v>
      </c>
      <c r="D26" s="4" t="s">
        <v>30</v>
      </c>
      <c r="E26" s="4">
        <v>66.59</v>
      </c>
      <c r="F26" s="5">
        <v>25</v>
      </c>
      <c r="G26" s="2" t="str">
        <f t="shared" si="0"/>
        <v>St. Joseph's College, Tiruchirappalli</v>
      </c>
    </row>
    <row r="27" spans="1:7" x14ac:dyDescent="0.3">
      <c r="A27" s="3" t="s">
        <v>71</v>
      </c>
      <c r="B27" s="4" t="s">
        <v>72</v>
      </c>
      <c r="C27" s="4" t="s">
        <v>9</v>
      </c>
      <c r="D27" s="4" t="s">
        <v>9</v>
      </c>
      <c r="E27" s="4">
        <v>64.56</v>
      </c>
      <c r="F27" s="5">
        <v>26</v>
      </c>
      <c r="G27" s="2" t="str">
        <f t="shared" si="0"/>
        <v>Daulat Ram College</v>
      </c>
    </row>
    <row r="28" spans="1:7" x14ac:dyDescent="0.3">
      <c r="A28" s="3" t="s">
        <v>73</v>
      </c>
      <c r="B28" s="4" t="s">
        <v>74</v>
      </c>
      <c r="C28" s="4" t="s">
        <v>24</v>
      </c>
      <c r="D28" s="4" t="s">
        <v>9</v>
      </c>
      <c r="E28" s="4">
        <v>64.19</v>
      </c>
      <c r="F28" s="5">
        <v>27</v>
      </c>
      <c r="G28" s="2" t="str">
        <f t="shared" si="0"/>
        <v>Deen Dayal Upadhyaya College</v>
      </c>
    </row>
    <row r="29" spans="1:7" x14ac:dyDescent="0.3">
      <c r="A29" s="3" t="s">
        <v>75</v>
      </c>
      <c r="B29" s="4" t="s">
        <v>76</v>
      </c>
      <c r="C29" s="4" t="s">
        <v>9</v>
      </c>
      <c r="D29" s="4" t="s">
        <v>9</v>
      </c>
      <c r="E29" s="4">
        <v>63.82</v>
      </c>
      <c r="F29" s="5">
        <v>28</v>
      </c>
      <c r="G29" s="2" t="str">
        <f t="shared" si="0"/>
        <v>Ramjas College</v>
      </c>
    </row>
    <row r="30" spans="1:7" x14ac:dyDescent="0.3">
      <c r="A30" s="3" t="s">
        <v>77</v>
      </c>
      <c r="B30" s="4" t="s">
        <v>78</v>
      </c>
      <c r="C30" s="4" t="s">
        <v>9</v>
      </c>
      <c r="D30" s="4" t="s">
        <v>9</v>
      </c>
      <c r="E30" s="4">
        <v>63.26</v>
      </c>
      <c r="F30" s="5">
        <v>29</v>
      </c>
      <c r="G30" s="2" t="str">
        <f t="shared" si="0"/>
        <v>Sri Guru Tegh Bahadur Khalsa College</v>
      </c>
    </row>
    <row r="31" spans="1:7" x14ac:dyDescent="0.3">
      <c r="A31" s="3" t="s">
        <v>79</v>
      </c>
      <c r="B31" s="4" t="s">
        <v>80</v>
      </c>
      <c r="C31" s="4" t="s">
        <v>81</v>
      </c>
      <c r="D31" s="4" t="s">
        <v>9</v>
      </c>
      <c r="E31" s="4">
        <v>63.11</v>
      </c>
      <c r="F31" s="5">
        <v>30</v>
      </c>
      <c r="G31" s="2" t="str">
        <f t="shared" si="0"/>
        <v>Delhi College of Arts &amp; Commerce</v>
      </c>
    </row>
    <row r="32" spans="1:7" x14ac:dyDescent="0.3">
      <c r="A32" s="3" t="s">
        <v>82</v>
      </c>
      <c r="B32" s="4" t="s">
        <v>83</v>
      </c>
      <c r="C32" s="4" t="s">
        <v>9</v>
      </c>
      <c r="D32" s="4" t="s">
        <v>9</v>
      </c>
      <c r="E32" s="4">
        <v>62.88</v>
      </c>
      <c r="F32" s="5">
        <v>31</v>
      </c>
      <c r="G32" s="2" t="str">
        <f t="shared" si="0"/>
        <v>Lady Irwin College</v>
      </c>
    </row>
    <row r="33" spans="1:7" x14ac:dyDescent="0.3">
      <c r="A33" s="3" t="s">
        <v>84</v>
      </c>
      <c r="B33" s="4" t="s">
        <v>85</v>
      </c>
      <c r="C33" s="4" t="s">
        <v>9</v>
      </c>
      <c r="D33" s="4" t="s">
        <v>9</v>
      </c>
      <c r="E33" s="4">
        <v>62.63</v>
      </c>
      <c r="F33" s="5">
        <v>32</v>
      </c>
      <c r="G33" s="2" t="str">
        <f t="shared" si="0"/>
        <v>Sri Guru Gobind Singh College of Commerce</v>
      </c>
    </row>
    <row r="34" spans="1:7" x14ac:dyDescent="0.3">
      <c r="A34" s="3" t="s">
        <v>86</v>
      </c>
      <c r="B34" s="4" t="s">
        <v>87</v>
      </c>
      <c r="C34" s="4" t="s">
        <v>9</v>
      </c>
      <c r="D34" s="4" t="s">
        <v>9</v>
      </c>
      <c r="E34" s="4">
        <v>62.48</v>
      </c>
      <c r="F34" s="5">
        <v>33</v>
      </c>
      <c r="G34" s="2" t="str">
        <f t="shared" si="0"/>
        <v>Gargi College</v>
      </c>
    </row>
    <row r="35" spans="1:7" x14ac:dyDescent="0.3">
      <c r="A35" s="3" t="s">
        <v>88</v>
      </c>
      <c r="B35" s="4" t="s">
        <v>89</v>
      </c>
      <c r="C35" s="4" t="s">
        <v>90</v>
      </c>
      <c r="D35" s="4" t="s">
        <v>91</v>
      </c>
      <c r="E35" s="4">
        <v>62.29</v>
      </c>
      <c r="F35" s="5">
        <v>34</v>
      </c>
      <c r="G35" s="2" t="str">
        <f t="shared" si="0"/>
        <v>Kristu Jayanti College</v>
      </c>
    </row>
    <row r="36" spans="1:7" x14ac:dyDescent="0.3">
      <c r="A36" s="3" t="s">
        <v>92</v>
      </c>
      <c r="B36" s="4" t="s">
        <v>93</v>
      </c>
      <c r="C36" s="4" t="s">
        <v>94</v>
      </c>
      <c r="D36" s="4" t="s">
        <v>94</v>
      </c>
      <c r="E36" s="4">
        <v>62.18</v>
      </c>
      <c r="F36" s="5">
        <v>35</v>
      </c>
      <c r="G36" s="2" t="str">
        <f t="shared" si="0"/>
        <v>Govt Home Science College</v>
      </c>
    </row>
    <row r="37" spans="1:7" x14ac:dyDescent="0.3">
      <c r="A37" s="3" t="s">
        <v>95</v>
      </c>
      <c r="B37" s="4" t="s">
        <v>96</v>
      </c>
      <c r="C37" s="4" t="s">
        <v>24</v>
      </c>
      <c r="D37" s="4" t="s">
        <v>9</v>
      </c>
      <c r="E37" s="4">
        <v>61.99</v>
      </c>
      <c r="F37" s="5">
        <v>36</v>
      </c>
      <c r="G37" s="2" t="str">
        <f t="shared" si="0"/>
        <v>Dyal Singh College</v>
      </c>
    </row>
    <row r="38" spans="1:7" x14ac:dyDescent="0.3">
      <c r="A38" s="3" t="s">
        <v>97</v>
      </c>
      <c r="B38" s="4" t="s">
        <v>98</v>
      </c>
      <c r="C38" s="4" t="s">
        <v>24</v>
      </c>
      <c r="D38" s="4" t="s">
        <v>9</v>
      </c>
      <c r="E38" s="4">
        <v>61.85</v>
      </c>
      <c r="F38" s="5">
        <v>37</v>
      </c>
      <c r="G38" s="2" t="str">
        <f t="shared" si="0"/>
        <v>Ramanujan College</v>
      </c>
    </row>
    <row r="39" spans="1:7" x14ac:dyDescent="0.3">
      <c r="A39" s="3" t="s">
        <v>99</v>
      </c>
      <c r="B39" s="4" t="s">
        <v>100</v>
      </c>
      <c r="C39" s="4" t="s">
        <v>24</v>
      </c>
      <c r="D39" s="4" t="s">
        <v>9</v>
      </c>
      <c r="E39" s="4">
        <v>61.84</v>
      </c>
      <c r="F39" s="5">
        <v>38</v>
      </c>
      <c r="G39" s="2" t="str">
        <f t="shared" si="0"/>
        <v>Maitreyi College</v>
      </c>
    </row>
    <row r="40" spans="1:7" x14ac:dyDescent="0.3">
      <c r="A40" s="3" t="s">
        <v>101</v>
      </c>
      <c r="B40" s="4" t="s">
        <v>102</v>
      </c>
      <c r="C40" s="4" t="s">
        <v>24</v>
      </c>
      <c r="D40" s="4" t="s">
        <v>9</v>
      </c>
      <c r="E40" s="4">
        <v>61.55</v>
      </c>
      <c r="F40" s="5">
        <v>39</v>
      </c>
      <c r="G40" s="2" t="str">
        <f t="shared" si="0"/>
        <v>Shaheed Bhagat Singh College</v>
      </c>
    </row>
    <row r="41" spans="1:7" x14ac:dyDescent="0.3">
      <c r="A41" s="3" t="s">
        <v>103</v>
      </c>
      <c r="B41" s="4" t="s">
        <v>104</v>
      </c>
      <c r="C41" s="4" t="s">
        <v>105</v>
      </c>
      <c r="D41" s="4" t="s">
        <v>30</v>
      </c>
      <c r="E41" s="4">
        <v>61.5</v>
      </c>
      <c r="F41" s="5">
        <v>40</v>
      </c>
      <c r="G41" s="2" t="str">
        <f t="shared" si="0"/>
        <v>Dhanalakshmi Srinivasan College of Arts &amp; Science for Women</v>
      </c>
    </row>
    <row r="42" spans="1:7" x14ac:dyDescent="0.3">
      <c r="A42" s="3" t="s">
        <v>106</v>
      </c>
      <c r="B42" s="4" t="s">
        <v>107</v>
      </c>
      <c r="C42" s="4" t="s">
        <v>43</v>
      </c>
      <c r="D42" s="4" t="s">
        <v>30</v>
      </c>
      <c r="E42" s="4">
        <v>61.25</v>
      </c>
      <c r="F42" s="5">
        <v>41</v>
      </c>
      <c r="G42" s="2" t="str">
        <f t="shared" si="0"/>
        <v>Stella Maris College for Women</v>
      </c>
    </row>
    <row r="43" spans="1:7" x14ac:dyDescent="0.3">
      <c r="A43" s="3" t="s">
        <v>108</v>
      </c>
      <c r="B43" s="4" t="s">
        <v>109</v>
      </c>
      <c r="C43" s="4" t="s">
        <v>110</v>
      </c>
      <c r="D43" s="4" t="s">
        <v>21</v>
      </c>
      <c r="E43" s="4">
        <v>61.23</v>
      </c>
      <c r="F43" s="5">
        <v>42</v>
      </c>
      <c r="G43" s="2" t="str">
        <f t="shared" si="0"/>
        <v>Midnapore College</v>
      </c>
    </row>
    <row r="44" spans="1:7" x14ac:dyDescent="0.3">
      <c r="A44" s="3" t="s">
        <v>111</v>
      </c>
      <c r="B44" s="4" t="s">
        <v>112</v>
      </c>
      <c r="C44" s="4" t="s">
        <v>9</v>
      </c>
      <c r="D44" s="4" t="s">
        <v>9</v>
      </c>
      <c r="E44" s="4">
        <v>60.96</v>
      </c>
      <c r="F44" s="5">
        <v>43</v>
      </c>
      <c r="G44" s="2" t="str">
        <f t="shared" si="0"/>
        <v>Shyam Lal College</v>
      </c>
    </row>
    <row r="45" spans="1:7" x14ac:dyDescent="0.3">
      <c r="A45" s="3" t="s">
        <v>113</v>
      </c>
      <c r="B45" s="4" t="s">
        <v>114</v>
      </c>
      <c r="C45" s="4" t="s">
        <v>115</v>
      </c>
      <c r="D45" s="4" t="s">
        <v>38</v>
      </c>
      <c r="E45" s="4">
        <v>60.77</v>
      </c>
      <c r="F45" s="5">
        <v>44</v>
      </c>
      <c r="G45" s="2" t="str">
        <f t="shared" si="0"/>
        <v>Sacred Heart College</v>
      </c>
    </row>
    <row r="46" spans="1:7" x14ac:dyDescent="0.3">
      <c r="A46" s="3" t="s">
        <v>116</v>
      </c>
      <c r="B46" s="4" t="s">
        <v>117</v>
      </c>
      <c r="C46" s="4" t="s">
        <v>24</v>
      </c>
      <c r="D46" s="4" t="s">
        <v>9</v>
      </c>
      <c r="E46" s="4">
        <v>60.2</v>
      </c>
      <c r="F46" s="5">
        <v>45</v>
      </c>
      <c r="G46" s="2" t="str">
        <f t="shared" si="0"/>
        <v>Bhaskaracharya College of Applied Sciences</v>
      </c>
    </row>
    <row r="47" spans="1:7" x14ac:dyDescent="0.3">
      <c r="A47" s="3" t="s">
        <v>118</v>
      </c>
      <c r="B47" s="4" t="s">
        <v>119</v>
      </c>
      <c r="C47" s="4" t="s">
        <v>70</v>
      </c>
      <c r="D47" s="4" t="s">
        <v>30</v>
      </c>
      <c r="E47" s="4">
        <v>60.18</v>
      </c>
      <c r="F47" s="5">
        <v>46</v>
      </c>
      <c r="G47" s="2" t="str">
        <f t="shared" si="0"/>
        <v>Bishop Heber College</v>
      </c>
    </row>
    <row r="48" spans="1:7" x14ac:dyDescent="0.3">
      <c r="A48" s="3" t="s">
        <v>120</v>
      </c>
      <c r="B48" s="4" t="s">
        <v>121</v>
      </c>
      <c r="C48" s="4" t="s">
        <v>122</v>
      </c>
      <c r="D48" s="4" t="s">
        <v>21</v>
      </c>
      <c r="E48" s="4">
        <v>60.17</v>
      </c>
      <c r="F48" s="5">
        <v>47</v>
      </c>
      <c r="G48" s="2" t="str">
        <f t="shared" si="0"/>
        <v>Lady Brabourne College</v>
      </c>
    </row>
    <row r="49" spans="1:7" x14ac:dyDescent="0.3">
      <c r="A49" s="3" t="s">
        <v>123</v>
      </c>
      <c r="B49" s="4" t="s">
        <v>124</v>
      </c>
      <c r="C49" s="4" t="s">
        <v>125</v>
      </c>
      <c r="D49" s="4" t="s">
        <v>30</v>
      </c>
      <c r="E49" s="4">
        <v>60.16</v>
      </c>
      <c r="F49" s="5">
        <v>48</v>
      </c>
      <c r="G49" s="2" t="str">
        <f t="shared" si="0"/>
        <v>St. Xavier's College, Palayamkottai</v>
      </c>
    </row>
    <row r="50" spans="1:7" x14ac:dyDescent="0.3">
      <c r="A50" s="3" t="s">
        <v>126</v>
      </c>
      <c r="B50" s="4" t="s">
        <v>127</v>
      </c>
      <c r="C50" s="4" t="s">
        <v>128</v>
      </c>
      <c r="D50" s="4" t="s">
        <v>129</v>
      </c>
      <c r="E50" s="4">
        <v>59.88</v>
      </c>
      <c r="F50" s="5">
        <v>49</v>
      </c>
      <c r="G50" s="2" t="str">
        <f t="shared" si="0"/>
        <v>Pachhunga University College</v>
      </c>
    </row>
    <row r="51" spans="1:7" x14ac:dyDescent="0.3">
      <c r="A51" s="3" t="s">
        <v>130</v>
      </c>
      <c r="B51" s="4" t="s">
        <v>131</v>
      </c>
      <c r="C51" s="4" t="s">
        <v>29</v>
      </c>
      <c r="D51" s="4" t="s">
        <v>30</v>
      </c>
      <c r="E51" s="4">
        <v>59.74</v>
      </c>
      <c r="F51" s="5">
        <v>50</v>
      </c>
      <c r="G51" s="2" t="str">
        <f t="shared" si="0"/>
        <v>Sri Krishna Arts and Science College</v>
      </c>
    </row>
    <row r="52" spans="1:7" x14ac:dyDescent="0.3">
      <c r="A52" s="3" t="s">
        <v>132</v>
      </c>
      <c r="B52" s="4" t="s">
        <v>133</v>
      </c>
      <c r="C52" s="4" t="s">
        <v>134</v>
      </c>
      <c r="D52" s="4" t="s">
        <v>135</v>
      </c>
      <c r="E52" s="4">
        <v>59.58</v>
      </c>
      <c r="F52" s="5">
        <v>51</v>
      </c>
      <c r="G52" s="2" t="str">
        <f t="shared" si="0"/>
        <v>Kanchi Mamunivar Govt. Institute for Postgraduate Studies and Research</v>
      </c>
    </row>
    <row r="53" spans="1:7" x14ac:dyDescent="0.3">
      <c r="A53" s="3" t="s">
        <v>136</v>
      </c>
      <c r="B53" s="4" t="s">
        <v>137</v>
      </c>
      <c r="C53" s="4" t="s">
        <v>70</v>
      </c>
      <c r="D53" s="4" t="s">
        <v>30</v>
      </c>
      <c r="E53" s="4">
        <v>59.47</v>
      </c>
      <c r="F53" s="5">
        <v>52</v>
      </c>
      <c r="G53" s="2" t="str">
        <f t="shared" si="0"/>
        <v>Holy Cross College, Tiruchirappalli</v>
      </c>
    </row>
    <row r="54" spans="1:7" x14ac:dyDescent="0.3">
      <c r="A54" s="3" t="s">
        <v>138</v>
      </c>
      <c r="B54" s="4" t="s">
        <v>139</v>
      </c>
      <c r="C54" s="4" t="s">
        <v>140</v>
      </c>
      <c r="D54" s="4" t="s">
        <v>38</v>
      </c>
      <c r="E54" s="4">
        <v>59.19</v>
      </c>
      <c r="F54" s="5">
        <v>53</v>
      </c>
      <c r="G54" s="2" t="str">
        <f t="shared" si="0"/>
        <v>St. Thomas College, Thrissur</v>
      </c>
    </row>
    <row r="55" spans="1:7" x14ac:dyDescent="0.3">
      <c r="A55" s="3" t="s">
        <v>141</v>
      </c>
      <c r="B55" s="4" t="s">
        <v>142</v>
      </c>
      <c r="C55" s="4" t="s">
        <v>65</v>
      </c>
      <c r="D55" s="4" t="s">
        <v>38</v>
      </c>
      <c r="E55" s="4">
        <v>58.99</v>
      </c>
      <c r="F55" s="5">
        <v>54</v>
      </c>
      <c r="G55" s="2" t="str">
        <f t="shared" si="0"/>
        <v>Govt. College for Women, Thiruvananthapuram</v>
      </c>
    </row>
    <row r="56" spans="1:7" x14ac:dyDescent="0.3">
      <c r="A56" s="3" t="s">
        <v>143</v>
      </c>
      <c r="B56" s="4" t="s">
        <v>144</v>
      </c>
      <c r="C56" s="4" t="s">
        <v>43</v>
      </c>
      <c r="D56" s="4" t="s">
        <v>30</v>
      </c>
      <c r="E56" s="4">
        <v>58.9</v>
      </c>
      <c r="F56" s="5">
        <v>55</v>
      </c>
      <c r="G56" s="2" t="str">
        <f t="shared" si="0"/>
        <v>Madras School of Social Work</v>
      </c>
    </row>
    <row r="57" spans="1:7" x14ac:dyDescent="0.3">
      <c r="A57" s="3" t="s">
        <v>145</v>
      </c>
      <c r="B57" s="4" t="s">
        <v>146</v>
      </c>
      <c r="C57" s="4" t="s">
        <v>147</v>
      </c>
      <c r="D57" s="4" t="s">
        <v>38</v>
      </c>
      <c r="E57" s="4">
        <v>58.38</v>
      </c>
      <c r="F57" s="5">
        <v>56</v>
      </c>
      <c r="G57" s="2" t="str">
        <f t="shared" si="0"/>
        <v>St Berchmans College (Autonomous), Changanacherry, Kerala</v>
      </c>
    </row>
    <row r="58" spans="1:7" x14ac:dyDescent="0.3">
      <c r="A58" s="3" t="s">
        <v>148</v>
      </c>
      <c r="B58" s="4" t="s">
        <v>149</v>
      </c>
      <c r="C58" s="4" t="s">
        <v>150</v>
      </c>
      <c r="D58" s="4" t="s">
        <v>151</v>
      </c>
      <c r="E58" s="4">
        <v>58.35</v>
      </c>
      <c r="F58" s="5">
        <v>57</v>
      </c>
      <c r="G58" s="2" t="str">
        <f t="shared" si="0"/>
        <v>Fergusson College (Autonomous)</v>
      </c>
    </row>
    <row r="59" spans="1:7" x14ac:dyDescent="0.3">
      <c r="A59" s="3" t="s">
        <v>152</v>
      </c>
      <c r="B59" s="4" t="s">
        <v>153</v>
      </c>
      <c r="C59" s="4" t="s">
        <v>9</v>
      </c>
      <c r="D59" s="4" t="s">
        <v>9</v>
      </c>
      <c r="E59" s="4">
        <v>58.22</v>
      </c>
      <c r="F59" s="5">
        <v>58</v>
      </c>
      <c r="G59" s="2" t="str">
        <f t="shared" si="0"/>
        <v>Kamala Nehru College</v>
      </c>
    </row>
    <row r="60" spans="1:7" x14ac:dyDescent="0.3">
      <c r="A60" s="3" t="s">
        <v>154</v>
      </c>
      <c r="B60" s="4" t="s">
        <v>155</v>
      </c>
      <c r="C60" s="4" t="s">
        <v>57</v>
      </c>
      <c r="D60" s="4" t="s">
        <v>30</v>
      </c>
      <c r="E60" s="4">
        <v>58.12</v>
      </c>
      <c r="F60" s="5">
        <v>59</v>
      </c>
      <c r="G60" s="2" t="str">
        <f t="shared" si="0"/>
        <v>The American College</v>
      </c>
    </row>
    <row r="61" spans="1:7" x14ac:dyDescent="0.3">
      <c r="A61" s="3" t="s">
        <v>156</v>
      </c>
      <c r="B61" s="4" t="s">
        <v>157</v>
      </c>
      <c r="C61" s="4" t="s">
        <v>37</v>
      </c>
      <c r="D61" s="4" t="s">
        <v>38</v>
      </c>
      <c r="E61" s="4">
        <v>57.84</v>
      </c>
      <c r="F61" s="5">
        <v>60</v>
      </c>
      <c r="G61" s="2" t="str">
        <f t="shared" si="0"/>
        <v>St. Teresa's College, Ernakulam</v>
      </c>
    </row>
    <row r="62" spans="1:7" x14ac:dyDescent="0.3">
      <c r="A62" s="3" t="s">
        <v>158</v>
      </c>
      <c r="B62" s="4" t="s">
        <v>159</v>
      </c>
      <c r="C62" s="4" t="s">
        <v>65</v>
      </c>
      <c r="D62" s="4" t="s">
        <v>38</v>
      </c>
      <c r="E62" s="4">
        <v>57.75</v>
      </c>
      <c r="F62" s="5">
        <v>61</v>
      </c>
      <c r="G62" s="2" t="str">
        <f t="shared" si="0"/>
        <v>Mar Ivanios College, Thiruvananthapuram</v>
      </c>
    </row>
    <row r="63" spans="1:7" x14ac:dyDescent="0.3">
      <c r="A63" s="3" t="s">
        <v>160</v>
      </c>
      <c r="B63" s="4" t="s">
        <v>161</v>
      </c>
      <c r="C63" s="4" t="s">
        <v>43</v>
      </c>
      <c r="D63" s="4" t="s">
        <v>30</v>
      </c>
      <c r="E63" s="4">
        <v>57.68</v>
      </c>
      <c r="F63" s="5">
        <v>62</v>
      </c>
      <c r="G63" s="2" t="str">
        <f t="shared" si="0"/>
        <v>Queen Mary`s College</v>
      </c>
    </row>
    <row r="64" spans="1:7" x14ac:dyDescent="0.3">
      <c r="A64" s="3" t="s">
        <v>162</v>
      </c>
      <c r="B64" s="4" t="s">
        <v>163</v>
      </c>
      <c r="C64" s="4" t="s">
        <v>164</v>
      </c>
      <c r="D64" s="4" t="s">
        <v>30</v>
      </c>
      <c r="E64" s="4">
        <v>57.67</v>
      </c>
      <c r="F64" s="5">
        <v>63</v>
      </c>
      <c r="G64" s="2" t="str">
        <f t="shared" si="0"/>
        <v>Nesamony Memorial Christian College, Marthandam, Kanyakumari Dist.</v>
      </c>
    </row>
    <row r="65" spans="1:7" x14ac:dyDescent="0.3">
      <c r="A65" s="3" t="s">
        <v>165</v>
      </c>
      <c r="B65" s="4" t="s">
        <v>166</v>
      </c>
      <c r="C65" s="4" t="s">
        <v>43</v>
      </c>
      <c r="D65" s="4" t="s">
        <v>30</v>
      </c>
      <c r="E65" s="4">
        <v>57.64</v>
      </c>
      <c r="F65" s="5">
        <v>64</v>
      </c>
      <c r="G65" s="2" t="str">
        <f t="shared" si="0"/>
        <v>Ethiraj College for Women</v>
      </c>
    </row>
    <row r="66" spans="1:7" x14ac:dyDescent="0.3">
      <c r="A66" s="3" t="s">
        <v>167</v>
      </c>
      <c r="B66" s="4" t="s">
        <v>168</v>
      </c>
      <c r="C66" s="4" t="s">
        <v>9</v>
      </c>
      <c r="D66" s="4" t="s">
        <v>9</v>
      </c>
      <c r="E66" s="4">
        <v>57.59</v>
      </c>
      <c r="F66" s="5">
        <v>65</v>
      </c>
      <c r="G66" s="2" t="str">
        <f t="shared" ref="G66:G100" si="1">LEFT(B66,FIND("More DetailsClose",B66)-1)</f>
        <v>Shaheed Rajguru College of Applied Sciences for Women</v>
      </c>
    </row>
    <row r="67" spans="1:7" x14ac:dyDescent="0.3">
      <c r="A67" s="3" t="s">
        <v>169</v>
      </c>
      <c r="B67" s="4" t="s">
        <v>170</v>
      </c>
      <c r="C67" s="4" t="s">
        <v>29</v>
      </c>
      <c r="D67" s="4" t="s">
        <v>30</v>
      </c>
      <c r="E67" s="4">
        <v>57.56</v>
      </c>
      <c r="F67" s="5">
        <v>66</v>
      </c>
      <c r="G67" s="2" t="str">
        <f t="shared" si="1"/>
        <v>Dr. N. G. P. Arts and Science College</v>
      </c>
    </row>
    <row r="68" spans="1:7" x14ac:dyDescent="0.3">
      <c r="A68" s="3" t="s">
        <v>171</v>
      </c>
      <c r="B68" s="4" t="s">
        <v>172</v>
      </c>
      <c r="C68" s="4" t="s">
        <v>90</v>
      </c>
      <c r="D68" s="4" t="s">
        <v>91</v>
      </c>
      <c r="E68" s="4">
        <v>57.49</v>
      </c>
      <c r="F68" s="5">
        <v>67</v>
      </c>
      <c r="G68" s="2" t="str">
        <f t="shared" si="1"/>
        <v>M S Ramaiah College of Arts, Science, and Commerce</v>
      </c>
    </row>
    <row r="69" spans="1:7" x14ac:dyDescent="0.3">
      <c r="A69" s="3" t="s">
        <v>173</v>
      </c>
      <c r="B69" s="4" t="s">
        <v>174</v>
      </c>
      <c r="C69" s="4" t="s">
        <v>29</v>
      </c>
      <c r="D69" s="4" t="s">
        <v>30</v>
      </c>
      <c r="E69" s="4">
        <v>57.49</v>
      </c>
      <c r="F69" s="5">
        <v>67</v>
      </c>
      <c r="G69" s="2" t="str">
        <f t="shared" si="1"/>
        <v>Government Arts College</v>
      </c>
    </row>
    <row r="70" spans="1:7" x14ac:dyDescent="0.3">
      <c r="A70" s="3" t="s">
        <v>175</v>
      </c>
      <c r="B70" s="4" t="s">
        <v>176</v>
      </c>
      <c r="C70" s="4" t="s">
        <v>9</v>
      </c>
      <c r="D70" s="4" t="s">
        <v>9</v>
      </c>
      <c r="E70" s="4">
        <v>57.48</v>
      </c>
      <c r="F70" s="5">
        <v>69</v>
      </c>
      <c r="G70" s="2" t="str">
        <f t="shared" si="1"/>
        <v>Shivaji College</v>
      </c>
    </row>
    <row r="71" spans="1:7" x14ac:dyDescent="0.3">
      <c r="A71" s="3" t="s">
        <v>177</v>
      </c>
      <c r="B71" s="4" t="s">
        <v>178</v>
      </c>
      <c r="C71" s="4" t="s">
        <v>94</v>
      </c>
      <c r="D71" s="4" t="s">
        <v>94</v>
      </c>
      <c r="E71" s="4">
        <v>57.44</v>
      </c>
      <c r="F71" s="5">
        <v>70</v>
      </c>
      <c r="G71" s="2" t="str">
        <f t="shared" si="1"/>
        <v>Goswami Ganesh Dutta S.D. College</v>
      </c>
    </row>
    <row r="72" spans="1:7" x14ac:dyDescent="0.3">
      <c r="A72" s="3" t="s">
        <v>179</v>
      </c>
      <c r="B72" s="4" t="s">
        <v>180</v>
      </c>
      <c r="C72" s="4" t="s">
        <v>181</v>
      </c>
      <c r="D72" s="4" t="s">
        <v>30</v>
      </c>
      <c r="E72" s="4">
        <v>57.3</v>
      </c>
      <c r="F72" s="5">
        <v>71</v>
      </c>
      <c r="G72" s="2" t="str">
        <f t="shared" si="1"/>
        <v>Government Arts College</v>
      </c>
    </row>
    <row r="73" spans="1:7" x14ac:dyDescent="0.3">
      <c r="A73" s="3" t="s">
        <v>182</v>
      </c>
      <c r="B73" s="4" t="s">
        <v>183</v>
      </c>
      <c r="C73" s="4" t="s">
        <v>184</v>
      </c>
      <c r="D73" s="4" t="s">
        <v>30</v>
      </c>
      <c r="E73" s="4">
        <v>57.27</v>
      </c>
      <c r="F73" s="5">
        <v>72</v>
      </c>
      <c r="G73" s="2" t="str">
        <f t="shared" si="1"/>
        <v>Ayya Nadar Janaki Ammal College</v>
      </c>
    </row>
    <row r="74" spans="1:7" x14ac:dyDescent="0.3">
      <c r="A74" s="3" t="s">
        <v>185</v>
      </c>
      <c r="B74" s="4" t="s">
        <v>186</v>
      </c>
      <c r="C74" s="4" t="s">
        <v>187</v>
      </c>
      <c r="D74" s="4" t="s">
        <v>91</v>
      </c>
      <c r="E74" s="4">
        <v>57.17</v>
      </c>
      <c r="F74" s="5">
        <v>73</v>
      </c>
      <c r="G74" s="2" t="str">
        <f t="shared" si="1"/>
        <v>St. Aloysius College</v>
      </c>
    </row>
    <row r="75" spans="1:7" x14ac:dyDescent="0.3">
      <c r="A75" s="3" t="s">
        <v>188</v>
      </c>
      <c r="B75" s="4" t="s">
        <v>189</v>
      </c>
      <c r="C75" s="4" t="s">
        <v>190</v>
      </c>
      <c r="D75" s="4" t="s">
        <v>38</v>
      </c>
      <c r="E75" s="4">
        <v>56.89</v>
      </c>
      <c r="F75" s="5">
        <v>74</v>
      </c>
      <c r="G75" s="2" t="str">
        <f t="shared" si="1"/>
        <v>St. Joseph’s College, Devagiri</v>
      </c>
    </row>
    <row r="76" spans="1:7" x14ac:dyDescent="0.3">
      <c r="A76" s="3" t="s">
        <v>191</v>
      </c>
      <c r="B76" s="4" t="s">
        <v>192</v>
      </c>
      <c r="C76" s="4" t="s">
        <v>37</v>
      </c>
      <c r="D76" s="4" t="s">
        <v>38</v>
      </c>
      <c r="E76" s="4">
        <v>56.86</v>
      </c>
      <c r="F76" s="5">
        <v>75</v>
      </c>
      <c r="G76" s="2" t="str">
        <f t="shared" si="1"/>
        <v>Maharaja's College, Ernakulam</v>
      </c>
    </row>
    <row r="77" spans="1:7" x14ac:dyDescent="0.3">
      <c r="A77" s="3" t="s">
        <v>193</v>
      </c>
      <c r="B77" s="4" t="s">
        <v>194</v>
      </c>
      <c r="C77" s="4" t="s">
        <v>195</v>
      </c>
      <c r="D77" s="4" t="s">
        <v>30</v>
      </c>
      <c r="E77" s="4">
        <v>56.8</v>
      </c>
      <c r="F77" s="5">
        <v>76</v>
      </c>
      <c r="G77" s="2" t="str">
        <f t="shared" si="1"/>
        <v>Alagappa Government Arts College, Karaikudi</v>
      </c>
    </row>
    <row r="78" spans="1:7" x14ac:dyDescent="0.3">
      <c r="A78" s="3" t="s">
        <v>196</v>
      </c>
      <c r="B78" s="4" t="s">
        <v>197</v>
      </c>
      <c r="C78" s="4" t="s">
        <v>29</v>
      </c>
      <c r="D78" s="4" t="s">
        <v>30</v>
      </c>
      <c r="E78" s="4">
        <v>56.8</v>
      </c>
      <c r="F78" s="5">
        <v>76</v>
      </c>
      <c r="G78" s="2" t="str">
        <f t="shared" si="1"/>
        <v>Sri Ramakrishna College of Arts and Science</v>
      </c>
    </row>
    <row r="79" spans="1:7" x14ac:dyDescent="0.3">
      <c r="A79" s="3" t="s">
        <v>198</v>
      </c>
      <c r="B79" s="4" t="s">
        <v>199</v>
      </c>
      <c r="C79" s="4" t="s">
        <v>140</v>
      </c>
      <c r="D79" s="4" t="s">
        <v>38</v>
      </c>
      <c r="E79" s="4">
        <v>56.59</v>
      </c>
      <c r="F79" s="5">
        <v>78</v>
      </c>
      <c r="G79" s="2" t="str">
        <f t="shared" si="1"/>
        <v>Vimala College, Thrissur</v>
      </c>
    </row>
    <row r="80" spans="1:7" x14ac:dyDescent="0.3">
      <c r="A80" s="3" t="s">
        <v>200</v>
      </c>
      <c r="B80" s="4" t="s">
        <v>201</v>
      </c>
      <c r="C80" s="4" t="s">
        <v>202</v>
      </c>
      <c r="D80" s="4" t="s">
        <v>30</v>
      </c>
      <c r="E80" s="4">
        <v>56.57</v>
      </c>
      <c r="F80" s="5">
        <v>79</v>
      </c>
      <c r="G80" s="2" t="str">
        <f t="shared" si="1"/>
        <v>Rajah Serfoji Government College, Thanjavur - 613 005.</v>
      </c>
    </row>
    <row r="81" spans="1:7" x14ac:dyDescent="0.3">
      <c r="A81" s="3" t="s">
        <v>203</v>
      </c>
      <c r="B81" s="4" t="s">
        <v>204</v>
      </c>
      <c r="C81" s="4" t="s">
        <v>205</v>
      </c>
      <c r="D81" s="4" t="s">
        <v>30</v>
      </c>
      <c r="E81" s="4">
        <v>56.54</v>
      </c>
      <c r="F81" s="5">
        <v>80</v>
      </c>
      <c r="G81" s="2" t="str">
        <f t="shared" si="1"/>
        <v>Sacred Heart College (Autonomous)</v>
      </c>
    </row>
    <row r="82" spans="1:7" x14ac:dyDescent="0.3">
      <c r="A82" s="3" t="s">
        <v>206</v>
      </c>
      <c r="B82" s="4" t="s">
        <v>207</v>
      </c>
      <c r="C82" s="4" t="s">
        <v>208</v>
      </c>
      <c r="D82" s="4" t="s">
        <v>30</v>
      </c>
      <c r="E82" s="4">
        <v>56.47</v>
      </c>
      <c r="F82" s="5">
        <v>81</v>
      </c>
      <c r="G82" s="2" t="str">
        <f t="shared" si="1"/>
        <v>Sri Sarada College for Women(Autonomous)</v>
      </c>
    </row>
    <row r="83" spans="1:7" x14ac:dyDescent="0.3">
      <c r="A83" s="3" t="s">
        <v>209</v>
      </c>
      <c r="B83" s="4" t="s">
        <v>210</v>
      </c>
      <c r="C83" s="4" t="s">
        <v>190</v>
      </c>
      <c r="D83" s="4" t="s">
        <v>38</v>
      </c>
      <c r="E83" s="4">
        <v>55.83</v>
      </c>
      <c r="F83" s="5">
        <v>82</v>
      </c>
      <c r="G83" s="2" t="str">
        <f t="shared" si="1"/>
        <v>Farook College, Kozhikkode</v>
      </c>
    </row>
    <row r="84" spans="1:7" x14ac:dyDescent="0.3">
      <c r="A84" s="3" t="s">
        <v>211</v>
      </c>
      <c r="B84" s="4" t="s">
        <v>212</v>
      </c>
      <c r="C84" s="4" t="s">
        <v>140</v>
      </c>
      <c r="D84" s="4" t="s">
        <v>38</v>
      </c>
      <c r="E84" s="4">
        <v>55.81</v>
      </c>
      <c r="F84" s="5">
        <v>83</v>
      </c>
      <c r="G84" s="2" t="str">
        <f t="shared" si="1"/>
        <v>St. Joseph's College</v>
      </c>
    </row>
    <row r="85" spans="1:7" x14ac:dyDescent="0.3">
      <c r="A85" s="3" t="s">
        <v>213</v>
      </c>
      <c r="B85" s="4" t="s">
        <v>214</v>
      </c>
      <c r="C85" s="4" t="s">
        <v>70</v>
      </c>
      <c r="D85" s="4" t="s">
        <v>30</v>
      </c>
      <c r="E85" s="4">
        <v>55.67</v>
      </c>
      <c r="F85" s="5">
        <v>84</v>
      </c>
      <c r="G85" s="2" t="str">
        <f t="shared" si="1"/>
        <v>Jamal Mohamed College, Tiruchirappalli</v>
      </c>
    </row>
    <row r="86" spans="1:7" x14ac:dyDescent="0.3">
      <c r="A86" s="3" t="s">
        <v>215</v>
      </c>
      <c r="B86" s="4" t="s">
        <v>216</v>
      </c>
      <c r="C86" s="4" t="s">
        <v>24</v>
      </c>
      <c r="D86" s="4" t="s">
        <v>9</v>
      </c>
      <c r="E86" s="4">
        <v>55.66</v>
      </c>
      <c r="F86" s="5">
        <v>85</v>
      </c>
      <c r="G86" s="2" t="str">
        <f t="shared" si="1"/>
        <v>Jesus &amp; Mary College</v>
      </c>
    </row>
    <row r="87" spans="1:7" x14ac:dyDescent="0.3">
      <c r="A87" s="3" t="s">
        <v>217</v>
      </c>
      <c r="B87" s="4" t="s">
        <v>218</v>
      </c>
      <c r="C87" s="4" t="s">
        <v>147</v>
      </c>
      <c r="D87" s="4" t="s">
        <v>38</v>
      </c>
      <c r="E87" s="4">
        <v>55.58</v>
      </c>
      <c r="F87" s="5">
        <v>86</v>
      </c>
      <c r="G87" s="2" t="str">
        <f t="shared" si="1"/>
        <v>CMS College Kottayam</v>
      </c>
    </row>
    <row r="88" spans="1:7" x14ac:dyDescent="0.3">
      <c r="A88" s="3" t="s">
        <v>219</v>
      </c>
      <c r="B88" s="4" t="s">
        <v>220</v>
      </c>
      <c r="C88" s="4" t="s">
        <v>140</v>
      </c>
      <c r="D88" s="4" t="s">
        <v>38</v>
      </c>
      <c r="E88" s="4">
        <v>55.51</v>
      </c>
      <c r="F88" s="5">
        <v>87</v>
      </c>
      <c r="G88" s="2" t="str">
        <f t="shared" si="1"/>
        <v>Christ College (Autonomous)</v>
      </c>
    </row>
    <row r="89" spans="1:7" x14ac:dyDescent="0.3">
      <c r="A89" s="3" t="s">
        <v>221</v>
      </c>
      <c r="B89" s="4" t="s">
        <v>222</v>
      </c>
      <c r="C89" s="4" t="s">
        <v>223</v>
      </c>
      <c r="D89" s="4" t="s">
        <v>30</v>
      </c>
      <c r="E89" s="4">
        <v>55.44</v>
      </c>
      <c r="F89" s="5">
        <v>88</v>
      </c>
      <c r="G89" s="2" t="str">
        <f t="shared" si="1"/>
        <v>A.P.C. Mahalaxmi College for Women</v>
      </c>
    </row>
    <row r="90" spans="1:7" x14ac:dyDescent="0.3">
      <c r="A90" s="3" t="s">
        <v>224</v>
      </c>
      <c r="B90" s="4" t="s">
        <v>225</v>
      </c>
      <c r="C90" s="4" t="s">
        <v>226</v>
      </c>
      <c r="D90" s="4" t="s">
        <v>151</v>
      </c>
      <c r="E90" s="4">
        <v>55.16</v>
      </c>
      <c r="F90" s="5">
        <v>89</v>
      </c>
      <c r="G90" s="2" t="str">
        <f t="shared" si="1"/>
        <v>St. Xavier`s College</v>
      </c>
    </row>
    <row r="91" spans="1:7" x14ac:dyDescent="0.3">
      <c r="A91" s="3" t="s">
        <v>227</v>
      </c>
      <c r="B91" s="4" t="s">
        <v>228</v>
      </c>
      <c r="C91" s="4" t="s">
        <v>24</v>
      </c>
      <c r="D91" s="4" t="s">
        <v>9</v>
      </c>
      <c r="E91" s="4">
        <v>55.1</v>
      </c>
      <c r="F91" s="5">
        <v>90</v>
      </c>
      <c r="G91" s="2" t="str">
        <f t="shared" si="1"/>
        <v>Ram Lal Anand College</v>
      </c>
    </row>
    <row r="92" spans="1:7" x14ac:dyDescent="0.3">
      <c r="A92" s="3" t="s">
        <v>229</v>
      </c>
      <c r="B92" s="4" t="s">
        <v>230</v>
      </c>
      <c r="C92" s="4" t="s">
        <v>43</v>
      </c>
      <c r="D92" s="4" t="s">
        <v>30</v>
      </c>
      <c r="E92" s="4">
        <v>55.03</v>
      </c>
      <c r="F92" s="5">
        <v>91</v>
      </c>
      <c r="G92" s="2" t="str">
        <f t="shared" si="1"/>
        <v>DG Vaishnav College</v>
      </c>
    </row>
    <row r="93" spans="1:7" x14ac:dyDescent="0.3">
      <c r="A93" s="3" t="s">
        <v>231</v>
      </c>
      <c r="B93" s="4" t="s">
        <v>232</v>
      </c>
      <c r="C93" s="4" t="s">
        <v>233</v>
      </c>
      <c r="D93" s="4" t="s">
        <v>38</v>
      </c>
      <c r="E93" s="4">
        <v>54.97</v>
      </c>
      <c r="F93" s="5">
        <v>92</v>
      </c>
      <c r="G93" s="2" t="str">
        <f t="shared" si="1"/>
        <v>Mar Athanasius College</v>
      </c>
    </row>
    <row r="94" spans="1:7" x14ac:dyDescent="0.3">
      <c r="A94" s="3" t="s">
        <v>234</v>
      </c>
      <c r="B94" s="4" t="s">
        <v>235</v>
      </c>
      <c r="C94" s="4" t="s">
        <v>236</v>
      </c>
      <c r="D94" s="4" t="s">
        <v>151</v>
      </c>
      <c r="E94" s="4">
        <v>54.76</v>
      </c>
      <c r="F94" s="5">
        <v>93</v>
      </c>
      <c r="G94" s="2" t="str">
        <f t="shared" si="1"/>
        <v>Shri Shivaji Science College , Morshi Road , Amravati.</v>
      </c>
    </row>
    <row r="95" spans="1:7" x14ac:dyDescent="0.3">
      <c r="A95" s="3" t="s">
        <v>237</v>
      </c>
      <c r="B95" s="4" t="s">
        <v>238</v>
      </c>
      <c r="C95" s="4" t="s">
        <v>29</v>
      </c>
      <c r="D95" s="4" t="s">
        <v>30</v>
      </c>
      <c r="E95" s="4">
        <v>54.66</v>
      </c>
      <c r="F95" s="5">
        <v>94</v>
      </c>
      <c r="G95" s="2" t="str">
        <f t="shared" si="1"/>
        <v>Sri Ramakrishna Mission Vidyalaya College of Arts and Science</v>
      </c>
    </row>
    <row r="96" spans="1:7" x14ac:dyDescent="0.3">
      <c r="A96" s="3" t="s">
        <v>239</v>
      </c>
      <c r="B96" s="4" t="s">
        <v>240</v>
      </c>
      <c r="C96" s="4" t="s">
        <v>9</v>
      </c>
      <c r="D96" s="4" t="s">
        <v>9</v>
      </c>
      <c r="E96" s="4">
        <v>54.61</v>
      </c>
      <c r="F96" s="5">
        <v>95</v>
      </c>
      <c r="G96" s="2" t="str">
        <f t="shared" si="1"/>
        <v>Keshav Mahavidyalya</v>
      </c>
    </row>
    <row r="97" spans="1:7" x14ac:dyDescent="0.3">
      <c r="A97" s="3" t="s">
        <v>241</v>
      </c>
      <c r="B97" s="4" t="s">
        <v>242</v>
      </c>
      <c r="C97" s="4" t="s">
        <v>37</v>
      </c>
      <c r="D97" s="4" t="s">
        <v>38</v>
      </c>
      <c r="E97" s="4">
        <v>54.55</v>
      </c>
      <c r="F97" s="5">
        <v>96</v>
      </c>
      <c r="G97" s="2" t="str">
        <f t="shared" si="1"/>
        <v>Union Christian College</v>
      </c>
    </row>
    <row r="98" spans="1:7" x14ac:dyDescent="0.3">
      <c r="A98" s="3" t="s">
        <v>243</v>
      </c>
      <c r="B98" s="4" t="s">
        <v>244</v>
      </c>
      <c r="C98" s="4" t="s">
        <v>24</v>
      </c>
      <c r="D98" s="4" t="s">
        <v>9</v>
      </c>
      <c r="E98" s="4">
        <v>54.52</v>
      </c>
      <c r="F98" s="5">
        <v>97</v>
      </c>
      <c r="G98" s="2" t="str">
        <f t="shared" si="1"/>
        <v>PGDAV College</v>
      </c>
    </row>
    <row r="99" spans="1:7" x14ac:dyDescent="0.3">
      <c r="A99" s="3" t="s">
        <v>245</v>
      </c>
      <c r="B99" s="4" t="s">
        <v>246</v>
      </c>
      <c r="C99" s="4" t="s">
        <v>90</v>
      </c>
      <c r="D99" s="4" t="s">
        <v>91</v>
      </c>
      <c r="E99" s="4">
        <v>54.47</v>
      </c>
      <c r="F99" s="5">
        <v>98</v>
      </c>
      <c r="G99" s="2" t="str">
        <f t="shared" si="1"/>
        <v>St. Joseph`s College of Commerce</v>
      </c>
    </row>
    <row r="100" spans="1:7" x14ac:dyDescent="0.3">
      <c r="A100" s="3" t="s">
        <v>247</v>
      </c>
      <c r="B100" s="4" t="s">
        <v>248</v>
      </c>
      <c r="C100" s="4" t="s">
        <v>65</v>
      </c>
      <c r="D100" s="4" t="s">
        <v>38</v>
      </c>
      <c r="E100" s="4">
        <v>54.42</v>
      </c>
      <c r="F100" s="5">
        <v>99</v>
      </c>
      <c r="G100" s="2" t="str">
        <f t="shared" si="1"/>
        <v>Government College, Attingal</v>
      </c>
    </row>
    <row r="101" spans="1:7" x14ac:dyDescent="0.3">
      <c r="A101" s="6" t="s">
        <v>249</v>
      </c>
      <c r="B101" s="7" t="s">
        <v>250</v>
      </c>
      <c r="C101" s="7" t="s">
        <v>57</v>
      </c>
      <c r="D101" s="7" t="s">
        <v>30</v>
      </c>
      <c r="E101" s="7">
        <v>54.39</v>
      </c>
      <c r="F101" s="8">
        <v>100</v>
      </c>
      <c r="G101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D30E1-4322-46C8-A7CD-6ED68B63549C}">
  <dimension ref="A1:R18"/>
  <sheetViews>
    <sheetView tabSelected="1" topLeftCell="H1" workbookViewId="0">
      <selection activeCell="M16" sqref="M16"/>
    </sheetView>
  </sheetViews>
  <sheetFormatPr defaultRowHeight="14.4" x14ac:dyDescent="0.3"/>
  <cols>
    <col min="1" max="1" width="12" bestFit="1" customWidth="1"/>
    <col min="2" max="2" width="14.109375" bestFit="1" customWidth="1"/>
    <col min="3" max="3" width="12.88671875" bestFit="1" customWidth="1"/>
    <col min="4" max="4" width="12.21875" bestFit="1" customWidth="1"/>
    <col min="5" max="5" width="11.44140625" bestFit="1" customWidth="1"/>
    <col min="6" max="6" width="10.44140625" bestFit="1" customWidth="1"/>
    <col min="7" max="7" width="15.109375" bestFit="1" customWidth="1"/>
    <col min="8" max="8" width="16.21875" bestFit="1" customWidth="1"/>
    <col min="9" max="9" width="12.77734375" bestFit="1" customWidth="1"/>
    <col min="10" max="10" width="9.6640625" bestFit="1" customWidth="1"/>
    <col min="11" max="12" width="12.77734375" bestFit="1" customWidth="1"/>
    <col min="13" max="13" width="10.109375" bestFit="1" customWidth="1"/>
    <col min="14" max="14" width="19.77734375" bestFit="1" customWidth="1"/>
    <col min="15" max="15" width="18.109375" bestFit="1" customWidth="1"/>
    <col min="16" max="16" width="16.5546875" bestFit="1" customWidth="1"/>
    <col min="17" max="17" width="29.88671875" bestFit="1" customWidth="1"/>
  </cols>
  <sheetData>
    <row r="1" spans="1:18" x14ac:dyDescent="0.3">
      <c r="A1" s="9" t="s">
        <v>295</v>
      </c>
      <c r="B1" s="9" t="s">
        <v>296</v>
      </c>
      <c r="C1" s="9" t="s">
        <v>297</v>
      </c>
      <c r="D1" s="9" t="s">
        <v>298</v>
      </c>
      <c r="E1" s="9" t="s">
        <v>3</v>
      </c>
      <c r="F1" s="9" t="s">
        <v>299</v>
      </c>
      <c r="G1" s="9" t="s">
        <v>300</v>
      </c>
      <c r="H1" s="9" t="s">
        <v>301</v>
      </c>
      <c r="I1" s="9" t="s">
        <v>302</v>
      </c>
      <c r="J1" s="9" t="s">
        <v>303</v>
      </c>
      <c r="K1" s="9" t="s">
        <v>304</v>
      </c>
      <c r="L1" s="9" t="s">
        <v>305</v>
      </c>
      <c r="M1" s="9" t="s">
        <v>306</v>
      </c>
      <c r="N1" s="9" t="s">
        <v>307</v>
      </c>
      <c r="O1" s="9" t="s">
        <v>308</v>
      </c>
      <c r="P1" s="9" t="s">
        <v>309</v>
      </c>
      <c r="Q1" s="9" t="s">
        <v>1254</v>
      </c>
      <c r="R1" s="9" t="s">
        <v>1255</v>
      </c>
    </row>
    <row r="2" spans="1:18" x14ac:dyDescent="0.3">
      <c r="A2" s="9">
        <v>1001</v>
      </c>
      <c r="B2" s="10">
        <v>45296</v>
      </c>
      <c r="C2" s="9" t="s">
        <v>251</v>
      </c>
      <c r="D2" s="9" t="s">
        <v>252</v>
      </c>
      <c r="E2" s="9" t="s">
        <v>9</v>
      </c>
      <c r="F2" s="9" t="s">
        <v>24</v>
      </c>
      <c r="G2" s="9" t="s">
        <v>253</v>
      </c>
      <c r="H2" s="9" t="s">
        <v>254</v>
      </c>
      <c r="I2" s="9" t="s">
        <v>255</v>
      </c>
      <c r="J2" s="9">
        <v>75000</v>
      </c>
      <c r="K2" s="9">
        <v>1</v>
      </c>
      <c r="L2" s="9">
        <v>0</v>
      </c>
      <c r="M2" s="9">
        <v>12000</v>
      </c>
      <c r="N2" s="9" t="s">
        <v>256</v>
      </c>
      <c r="O2" s="9" t="s">
        <v>257</v>
      </c>
      <c r="P2" s="9" t="s">
        <v>258</v>
      </c>
      <c r="Q2" s="9" t="str">
        <f t="shared" ref="Q2:Q11" si="0">_xlfn.CONCAT(G2,"-",H2)</f>
        <v>Electronics-Mobile</v>
      </c>
      <c r="R2" s="9" t="str">
        <f t="shared" ref="R2:R11" si="1">IF(LEN(J2)&gt;4,"Profit","Loss")</f>
        <v>Profit</v>
      </c>
    </row>
    <row r="3" spans="1:18" x14ac:dyDescent="0.3">
      <c r="A3" s="9">
        <v>1002</v>
      </c>
      <c r="B3" s="10">
        <v>45297</v>
      </c>
      <c r="C3" s="9" t="s">
        <v>251</v>
      </c>
      <c r="D3" s="9" t="s">
        <v>252</v>
      </c>
      <c r="E3" s="9" t="s">
        <v>151</v>
      </c>
      <c r="F3" s="9" t="s">
        <v>226</v>
      </c>
      <c r="G3" s="9" t="s">
        <v>253</v>
      </c>
      <c r="H3" s="9" t="s">
        <v>259</v>
      </c>
      <c r="I3" s="9" t="s">
        <v>260</v>
      </c>
      <c r="J3" s="9">
        <v>65000</v>
      </c>
      <c r="K3" s="9">
        <v>1</v>
      </c>
      <c r="L3" s="9">
        <v>10</v>
      </c>
      <c r="M3" s="9">
        <v>8000</v>
      </c>
      <c r="N3" s="9" t="s">
        <v>261</v>
      </c>
      <c r="O3" s="9" t="s">
        <v>262</v>
      </c>
      <c r="P3" s="9" t="s">
        <v>263</v>
      </c>
      <c r="Q3" s="9" t="str">
        <f t="shared" si="0"/>
        <v>Electronics-Laptop</v>
      </c>
      <c r="R3" s="9" t="str">
        <f t="shared" si="1"/>
        <v>Profit</v>
      </c>
    </row>
    <row r="4" spans="1:18" x14ac:dyDescent="0.3">
      <c r="A4" s="9">
        <v>1003</v>
      </c>
      <c r="B4" s="10">
        <v>45298</v>
      </c>
      <c r="C4" s="9" t="s">
        <v>251</v>
      </c>
      <c r="D4" s="9" t="s">
        <v>252</v>
      </c>
      <c r="E4" s="9" t="s">
        <v>91</v>
      </c>
      <c r="F4" s="9" t="s">
        <v>264</v>
      </c>
      <c r="G4" s="9" t="s">
        <v>265</v>
      </c>
      <c r="H4" s="9" t="s">
        <v>266</v>
      </c>
      <c r="I4" s="9" t="s">
        <v>267</v>
      </c>
      <c r="J4" s="9">
        <v>42000</v>
      </c>
      <c r="K4" s="9">
        <v>1</v>
      </c>
      <c r="L4" s="9">
        <v>5</v>
      </c>
      <c r="M4" s="9">
        <v>6000</v>
      </c>
      <c r="N4" s="9" t="s">
        <v>256</v>
      </c>
      <c r="O4" s="9" t="s">
        <v>268</v>
      </c>
      <c r="P4" s="9" t="s">
        <v>263</v>
      </c>
      <c r="Q4" s="9" t="str">
        <f t="shared" si="0"/>
        <v>Home Appliances-Washing Machine</v>
      </c>
      <c r="R4" s="9" t="str">
        <f t="shared" si="1"/>
        <v>Profit</v>
      </c>
    </row>
    <row r="5" spans="1:18" x14ac:dyDescent="0.3">
      <c r="A5" s="9">
        <v>1004</v>
      </c>
      <c r="B5" s="10">
        <v>45301</v>
      </c>
      <c r="C5" s="9" t="s">
        <v>269</v>
      </c>
      <c r="D5" s="9" t="s">
        <v>270</v>
      </c>
      <c r="E5" s="9" t="s">
        <v>271</v>
      </c>
      <c r="F5" s="9" t="s">
        <v>272</v>
      </c>
      <c r="G5" s="9" t="s">
        <v>253</v>
      </c>
      <c r="H5" s="9" t="s">
        <v>254</v>
      </c>
      <c r="I5" s="9" t="s">
        <v>273</v>
      </c>
      <c r="J5" s="9">
        <v>68000</v>
      </c>
      <c r="K5" s="9">
        <v>2</v>
      </c>
      <c r="L5" s="9">
        <v>0</v>
      </c>
      <c r="M5" s="9">
        <v>15000</v>
      </c>
      <c r="N5" s="9" t="s">
        <v>261</v>
      </c>
      <c r="O5" s="9" t="s">
        <v>274</v>
      </c>
      <c r="P5" s="9" t="s">
        <v>258</v>
      </c>
      <c r="Q5" s="9" t="str">
        <f t="shared" si="0"/>
        <v>Electronics-Mobile</v>
      </c>
      <c r="R5" s="9" t="str">
        <f t="shared" si="1"/>
        <v>Profit</v>
      </c>
    </row>
    <row r="6" spans="1:18" x14ac:dyDescent="0.3">
      <c r="A6" s="9">
        <v>1005</v>
      </c>
      <c r="B6" s="10">
        <v>45303</v>
      </c>
      <c r="C6" s="9" t="s">
        <v>275</v>
      </c>
      <c r="D6" s="9" t="s">
        <v>276</v>
      </c>
      <c r="E6" s="9" t="s">
        <v>277</v>
      </c>
      <c r="F6" s="9" t="s">
        <v>278</v>
      </c>
      <c r="G6" s="9" t="s">
        <v>279</v>
      </c>
      <c r="H6" s="9" t="s">
        <v>280</v>
      </c>
      <c r="I6" s="9" t="s">
        <v>281</v>
      </c>
      <c r="J6" s="9">
        <v>15000</v>
      </c>
      <c r="K6" s="9">
        <v>3</v>
      </c>
      <c r="L6" s="9">
        <v>15</v>
      </c>
      <c r="M6" s="9">
        <v>3000</v>
      </c>
      <c r="N6" s="9" t="s">
        <v>256</v>
      </c>
      <c r="O6" s="9" t="s">
        <v>262</v>
      </c>
      <c r="P6" s="9" t="s">
        <v>258</v>
      </c>
      <c r="Q6" s="9" t="str">
        <f t="shared" si="0"/>
        <v>Furniture-Chair</v>
      </c>
      <c r="R6" s="9" t="str">
        <f t="shared" si="1"/>
        <v>Profit</v>
      </c>
    </row>
    <row r="7" spans="1:18" x14ac:dyDescent="0.3">
      <c r="A7" s="9">
        <v>1006</v>
      </c>
      <c r="B7" s="10">
        <v>45323</v>
      </c>
      <c r="C7" s="9" t="s">
        <v>251</v>
      </c>
      <c r="D7" s="9" t="s">
        <v>252</v>
      </c>
      <c r="E7" s="9" t="s">
        <v>30</v>
      </c>
      <c r="F7" s="9" t="s">
        <v>43</v>
      </c>
      <c r="G7" s="9" t="s">
        <v>253</v>
      </c>
      <c r="H7" s="9" t="s">
        <v>282</v>
      </c>
      <c r="I7" s="9" t="s">
        <v>283</v>
      </c>
      <c r="J7" s="9">
        <v>58000</v>
      </c>
      <c r="K7" s="9">
        <v>1</v>
      </c>
      <c r="L7" s="9">
        <v>5</v>
      </c>
      <c r="M7" s="9">
        <v>9000</v>
      </c>
      <c r="N7" s="9" t="s">
        <v>261</v>
      </c>
      <c r="O7" s="9" t="s">
        <v>257</v>
      </c>
      <c r="P7" s="9" t="s">
        <v>258</v>
      </c>
      <c r="Q7" s="9" t="str">
        <f t="shared" si="0"/>
        <v>Electronics-Tablet</v>
      </c>
      <c r="R7" s="9" t="str">
        <f t="shared" si="1"/>
        <v>Profit</v>
      </c>
    </row>
    <row r="8" spans="1:18" x14ac:dyDescent="0.3">
      <c r="A8" s="9">
        <v>1007</v>
      </c>
      <c r="B8" s="10">
        <v>45327</v>
      </c>
      <c r="C8" s="9" t="s">
        <v>269</v>
      </c>
      <c r="D8" s="9" t="s">
        <v>284</v>
      </c>
      <c r="E8" s="9" t="s">
        <v>285</v>
      </c>
      <c r="F8" s="9" t="s">
        <v>286</v>
      </c>
      <c r="G8" s="9" t="s">
        <v>265</v>
      </c>
      <c r="H8" s="9" t="s">
        <v>287</v>
      </c>
      <c r="I8" s="9" t="s">
        <v>288</v>
      </c>
      <c r="J8" s="9">
        <v>18000</v>
      </c>
      <c r="K8" s="9">
        <v>2</v>
      </c>
      <c r="L8" s="9">
        <v>0</v>
      </c>
      <c r="M8" s="9">
        <v>2500</v>
      </c>
      <c r="N8" s="9" t="s">
        <v>256</v>
      </c>
      <c r="O8" s="9" t="s">
        <v>268</v>
      </c>
      <c r="P8" s="9" t="s">
        <v>263</v>
      </c>
      <c r="Q8" s="9" t="str">
        <f t="shared" si="0"/>
        <v>Home Appliances-Microwave</v>
      </c>
      <c r="R8" s="9" t="str">
        <f t="shared" si="1"/>
        <v>Profit</v>
      </c>
    </row>
    <row r="9" spans="1:18" x14ac:dyDescent="0.3">
      <c r="A9" s="9">
        <v>1008</v>
      </c>
      <c r="B9" s="10">
        <v>45332</v>
      </c>
      <c r="C9" s="9" t="s">
        <v>275</v>
      </c>
      <c r="D9" s="9" t="s">
        <v>276</v>
      </c>
      <c r="E9" s="9" t="s">
        <v>289</v>
      </c>
      <c r="F9" s="9" t="s">
        <v>290</v>
      </c>
      <c r="G9" s="9" t="s">
        <v>253</v>
      </c>
      <c r="H9" s="9" t="s">
        <v>254</v>
      </c>
      <c r="I9" s="9" t="s">
        <v>291</v>
      </c>
      <c r="J9" s="9">
        <v>52000</v>
      </c>
      <c r="K9" s="9">
        <v>1</v>
      </c>
      <c r="L9" s="9">
        <v>10</v>
      </c>
      <c r="M9" s="9">
        <v>7000</v>
      </c>
      <c r="N9" s="9" t="s">
        <v>261</v>
      </c>
      <c r="O9" s="9" t="s">
        <v>274</v>
      </c>
      <c r="P9" s="9" t="s">
        <v>258</v>
      </c>
      <c r="Q9" s="9" t="str">
        <f t="shared" si="0"/>
        <v>Electronics-Mobile</v>
      </c>
      <c r="R9" s="9" t="str">
        <f t="shared" si="1"/>
        <v>Profit</v>
      </c>
    </row>
    <row r="10" spans="1:18" x14ac:dyDescent="0.3">
      <c r="A10" s="9">
        <v>1009</v>
      </c>
      <c r="B10" s="10">
        <v>45353</v>
      </c>
      <c r="C10" s="9" t="s">
        <v>251</v>
      </c>
      <c r="D10" s="9" t="s">
        <v>252</v>
      </c>
      <c r="E10" s="9" t="s">
        <v>9</v>
      </c>
      <c r="F10" s="9" t="s">
        <v>24</v>
      </c>
      <c r="G10" s="9" t="s">
        <v>279</v>
      </c>
      <c r="H10" s="9" t="s">
        <v>292</v>
      </c>
      <c r="I10" s="9" t="s">
        <v>293</v>
      </c>
      <c r="J10" s="9">
        <v>32000</v>
      </c>
      <c r="K10" s="9">
        <v>1</v>
      </c>
      <c r="L10" s="9">
        <v>5</v>
      </c>
      <c r="M10" s="9">
        <v>4000</v>
      </c>
      <c r="N10" s="9" t="s">
        <v>256</v>
      </c>
      <c r="O10" s="9" t="s">
        <v>262</v>
      </c>
      <c r="P10" s="9" t="s">
        <v>263</v>
      </c>
      <c r="Q10" s="9" t="str">
        <f t="shared" si="0"/>
        <v>Furniture-Table</v>
      </c>
      <c r="R10" s="9" t="str">
        <f t="shared" si="1"/>
        <v>Profit</v>
      </c>
    </row>
    <row r="11" spans="1:18" x14ac:dyDescent="0.3">
      <c r="A11" s="9">
        <v>1010</v>
      </c>
      <c r="B11" s="10">
        <v>45356</v>
      </c>
      <c r="C11" s="9" t="s">
        <v>251</v>
      </c>
      <c r="D11" s="9" t="s">
        <v>252</v>
      </c>
      <c r="E11" s="9" t="s">
        <v>21</v>
      </c>
      <c r="F11" s="9" t="s">
        <v>20</v>
      </c>
      <c r="G11" s="9" t="s">
        <v>253</v>
      </c>
      <c r="H11" s="9" t="s">
        <v>259</v>
      </c>
      <c r="I11" s="9" t="s">
        <v>294</v>
      </c>
      <c r="J11" s="9">
        <v>61000</v>
      </c>
      <c r="K11" s="9">
        <v>1</v>
      </c>
      <c r="L11" s="9">
        <v>0</v>
      </c>
      <c r="M11" s="9">
        <v>8500</v>
      </c>
      <c r="N11" s="9" t="s">
        <v>261</v>
      </c>
      <c r="O11" s="9" t="s">
        <v>257</v>
      </c>
      <c r="P11" s="9" t="s">
        <v>258</v>
      </c>
      <c r="Q11" s="9" t="str">
        <f t="shared" si="0"/>
        <v>Electronics-Laptop</v>
      </c>
      <c r="R11" s="9" t="str">
        <f t="shared" si="1"/>
        <v>Profit</v>
      </c>
    </row>
    <row r="13" spans="1:18" x14ac:dyDescent="0.3">
      <c r="B13" t="s">
        <v>297</v>
      </c>
      <c r="C13" t="s">
        <v>3</v>
      </c>
      <c r="D13" t="s">
        <v>300</v>
      </c>
      <c r="K13" t="s">
        <v>1256</v>
      </c>
      <c r="L13">
        <f>SUM(Table13[Discount])</f>
        <v>50</v>
      </c>
    </row>
    <row r="14" spans="1:18" x14ac:dyDescent="0.3">
      <c r="A14" s="22">
        <v>1001</v>
      </c>
      <c r="B14" t="str">
        <f>VLOOKUP(A2,Table13[],3,FALSE)</f>
        <v>Asia</v>
      </c>
      <c r="C14" t="str">
        <f>VLOOKUP(A14,Table13[],5,FALSE)</f>
        <v>Delhi</v>
      </c>
      <c r="D14" t="str">
        <f>VLOOKUP(A14,Table13[],7,FALSE)</f>
        <v>Electronics</v>
      </c>
      <c r="K14" t="s">
        <v>1257</v>
      </c>
    </row>
    <row r="15" spans="1:18" x14ac:dyDescent="0.3">
      <c r="A15" s="23">
        <v>1002</v>
      </c>
      <c r="B15" t="str">
        <f>VLOOKUP(A3,Table13[],3,FALSE)</f>
        <v>Asia</v>
      </c>
      <c r="C15" t="str">
        <f>VLOOKUP(A15,Table13[],5,FALSE)</f>
        <v>Maharashtra</v>
      </c>
      <c r="D15" t="str">
        <f>VLOOKUP(A15,Table13[],7,FALSE)</f>
        <v>Electronics</v>
      </c>
    </row>
    <row r="16" spans="1:18" x14ac:dyDescent="0.3">
      <c r="A16" s="23">
        <v>1004</v>
      </c>
      <c r="B16" t="str">
        <f>VLOOKUP(A4,Table13[],3,FALSE)</f>
        <v>Asia</v>
      </c>
      <c r="C16" t="str">
        <f>VLOOKUP(A16,Table13[],5,FALSE)</f>
        <v>Bavaria</v>
      </c>
      <c r="D16" t="str">
        <f>VLOOKUP(A16,Table13[],7,FALSE)</f>
        <v>Electronics</v>
      </c>
    </row>
    <row r="17" spans="1:4" x14ac:dyDescent="0.3">
      <c r="A17" s="23">
        <v>1006</v>
      </c>
      <c r="B17" t="str">
        <f>VLOOKUP(A5,Table13[],3,FALSE)</f>
        <v>Europe</v>
      </c>
      <c r="C17" t="str">
        <f>VLOOKUP(A17,Table13[],5,FALSE)</f>
        <v>Tamil Nadu</v>
      </c>
      <c r="D17" t="str">
        <f>VLOOKUP(A17,Table13[],7,FALSE)</f>
        <v>Electronics</v>
      </c>
    </row>
    <row r="18" spans="1:4" x14ac:dyDescent="0.3">
      <c r="A18" s="23">
        <v>1008</v>
      </c>
      <c r="B18" t="str">
        <f>VLOOKUP(A6,Table13[],3,FALSE)</f>
        <v>North America</v>
      </c>
      <c r="C18" t="str">
        <f>VLOOKUP(A18,Table13[],5,FALSE)</f>
        <v>Texas</v>
      </c>
      <c r="D18" t="str">
        <f>VLOOKUP(A18,Table13[],7,FALSE)</f>
        <v>Electronics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0304E-271B-4892-841F-2CE9927EBE4B}">
  <dimension ref="A1:F11"/>
  <sheetViews>
    <sheetView workbookViewId="0">
      <selection activeCell="E10" sqref="E10"/>
    </sheetView>
  </sheetViews>
  <sheetFormatPr defaultRowHeight="14.4" x14ac:dyDescent="0.3"/>
  <cols>
    <col min="1" max="1" width="18.109375" bestFit="1" customWidth="1"/>
    <col min="2" max="2" width="19.109375" bestFit="1" customWidth="1"/>
    <col min="3" max="3" width="18.109375" bestFit="1" customWidth="1"/>
    <col min="4" max="4" width="20.77734375" bestFit="1" customWidth="1"/>
    <col min="5" max="5" width="12.33203125" bestFit="1" customWidth="1"/>
    <col min="6" max="6" width="12.21875" bestFit="1" customWidth="1"/>
  </cols>
  <sheetData>
    <row r="1" spans="1:6" x14ac:dyDescent="0.3">
      <c r="A1" s="9" t="s">
        <v>310</v>
      </c>
      <c r="B1" s="9" t="s">
        <v>311</v>
      </c>
      <c r="C1" s="9" t="s">
        <v>312</v>
      </c>
      <c r="D1" s="9" t="s">
        <v>313</v>
      </c>
      <c r="E1" s="9" t="s">
        <v>314</v>
      </c>
      <c r="F1" s="9" t="s">
        <v>298</v>
      </c>
    </row>
    <row r="2" spans="1:6" x14ac:dyDescent="0.3">
      <c r="A2" s="9">
        <v>101</v>
      </c>
      <c r="B2" s="9" t="s">
        <v>315</v>
      </c>
      <c r="C2" s="10">
        <v>46037</v>
      </c>
      <c r="D2" s="9" t="s">
        <v>253</v>
      </c>
      <c r="E2" s="12">
        <v>1200</v>
      </c>
      <c r="F2" s="9" t="s">
        <v>276</v>
      </c>
    </row>
    <row r="3" spans="1:6" x14ac:dyDescent="0.3">
      <c r="A3" s="9">
        <v>102</v>
      </c>
      <c r="B3" s="9" t="s">
        <v>316</v>
      </c>
      <c r="C3" s="10">
        <v>46038</v>
      </c>
      <c r="D3" s="9" t="s">
        <v>279</v>
      </c>
      <c r="E3" s="9">
        <v>450</v>
      </c>
      <c r="F3" s="9" t="s">
        <v>317</v>
      </c>
    </row>
    <row r="4" spans="1:6" x14ac:dyDescent="0.3">
      <c r="A4" s="9">
        <v>103</v>
      </c>
      <c r="B4" s="9" t="s">
        <v>318</v>
      </c>
      <c r="C4" s="10">
        <v>46039</v>
      </c>
      <c r="D4" s="9" t="s">
        <v>319</v>
      </c>
      <c r="E4" s="9">
        <v>320</v>
      </c>
      <c r="F4" s="9" t="s">
        <v>276</v>
      </c>
    </row>
    <row r="5" spans="1:6" x14ac:dyDescent="0.3">
      <c r="A5" s="9"/>
      <c r="B5" s="9" t="s">
        <v>320</v>
      </c>
      <c r="C5" s="10">
        <v>46040</v>
      </c>
      <c r="D5" s="9" t="s">
        <v>321</v>
      </c>
      <c r="E5" s="12">
        <v>85</v>
      </c>
      <c r="F5" s="9" t="s">
        <v>284</v>
      </c>
    </row>
    <row r="6" spans="1:6" x14ac:dyDescent="0.3">
      <c r="A6" s="9">
        <v>105</v>
      </c>
      <c r="B6" s="9" t="s">
        <v>316</v>
      </c>
      <c r="C6" s="10">
        <v>46038</v>
      </c>
      <c r="D6" s="9" t="s">
        <v>279</v>
      </c>
      <c r="E6" s="9">
        <v>450</v>
      </c>
      <c r="F6" s="9" t="s">
        <v>317</v>
      </c>
    </row>
    <row r="7" spans="1:6" x14ac:dyDescent="0.3">
      <c r="A7" s="9">
        <v>106</v>
      </c>
      <c r="B7" s="9" t="s">
        <v>322</v>
      </c>
      <c r="C7" s="9" t="s">
        <v>323</v>
      </c>
      <c r="D7" s="9" t="s">
        <v>324</v>
      </c>
      <c r="E7" s="9" t="s">
        <v>325</v>
      </c>
      <c r="F7" s="9" t="s">
        <v>276</v>
      </c>
    </row>
    <row r="8" spans="1:6" x14ac:dyDescent="0.3">
      <c r="A8" s="9">
        <v>107</v>
      </c>
      <c r="B8" s="9" t="s">
        <v>326</v>
      </c>
      <c r="C8" s="10">
        <v>46042</v>
      </c>
      <c r="D8" s="9" t="s">
        <v>253</v>
      </c>
      <c r="E8" s="9">
        <v>610</v>
      </c>
      <c r="F8" s="9" t="s">
        <v>327</v>
      </c>
    </row>
    <row r="9" spans="1:6" x14ac:dyDescent="0.3">
      <c r="A9" s="9">
        <v>108</v>
      </c>
      <c r="B9" s="9" t="s">
        <v>328</v>
      </c>
      <c r="C9" s="10">
        <v>46043</v>
      </c>
      <c r="D9" s="9"/>
      <c r="E9" s="9">
        <v>150</v>
      </c>
      <c r="F9" s="9" t="s">
        <v>284</v>
      </c>
    </row>
    <row r="10" spans="1:6" x14ac:dyDescent="0.3">
      <c r="A10" s="9">
        <v>109</v>
      </c>
      <c r="B10" s="9" t="s">
        <v>329</v>
      </c>
      <c r="C10" s="10">
        <v>46044</v>
      </c>
      <c r="D10" s="9" t="s">
        <v>321</v>
      </c>
      <c r="E10" s="9">
        <v>-50</v>
      </c>
      <c r="F10" s="9" t="s">
        <v>330</v>
      </c>
    </row>
    <row r="11" spans="1:6" x14ac:dyDescent="0.3">
      <c r="A11" s="9">
        <v>110</v>
      </c>
      <c r="B11" s="9" t="s">
        <v>331</v>
      </c>
      <c r="C11" s="10">
        <v>46045</v>
      </c>
      <c r="D11" s="9" t="s">
        <v>253</v>
      </c>
      <c r="E11" s="9">
        <v>999999</v>
      </c>
      <c r="F11" s="9" t="s">
        <v>270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7F092-D2F2-43F0-9B3A-5C338921E215}">
  <dimension ref="A1:E21"/>
  <sheetViews>
    <sheetView workbookViewId="0">
      <selection activeCell="E20" sqref="E20"/>
    </sheetView>
  </sheetViews>
  <sheetFormatPr defaultRowHeight="14.4" x14ac:dyDescent="0.3"/>
  <cols>
    <col min="3" max="3" width="12.77734375" customWidth="1"/>
    <col min="4" max="4" width="11.33203125" customWidth="1"/>
    <col min="5" max="5" width="10.21875" customWidth="1"/>
  </cols>
  <sheetData>
    <row r="1" spans="1:5" x14ac:dyDescent="0.3">
      <c r="A1" t="s">
        <v>332</v>
      </c>
      <c r="B1" t="s">
        <v>333</v>
      </c>
      <c r="C1" t="s">
        <v>334</v>
      </c>
      <c r="D1" t="s">
        <v>335</v>
      </c>
      <c r="E1" t="s">
        <v>304</v>
      </c>
    </row>
    <row r="2" spans="1:5" x14ac:dyDescent="0.3">
      <c r="A2" t="s">
        <v>336</v>
      </c>
      <c r="B2" s="11">
        <v>46027</v>
      </c>
      <c r="C2" t="s">
        <v>337</v>
      </c>
      <c r="D2" t="s">
        <v>338</v>
      </c>
      <c r="E2">
        <v>1</v>
      </c>
    </row>
    <row r="3" spans="1:5" x14ac:dyDescent="0.3">
      <c r="A3" t="s">
        <v>339</v>
      </c>
      <c r="B3" s="11">
        <v>46027</v>
      </c>
      <c r="C3" t="s">
        <v>340</v>
      </c>
      <c r="D3" t="s">
        <v>341</v>
      </c>
      <c r="E3">
        <v>2</v>
      </c>
    </row>
    <row r="4" spans="1:5" x14ac:dyDescent="0.3">
      <c r="A4" t="s">
        <v>342</v>
      </c>
      <c r="B4" s="11">
        <v>46028</v>
      </c>
      <c r="C4" t="s">
        <v>343</v>
      </c>
      <c r="D4" t="s">
        <v>344</v>
      </c>
      <c r="E4">
        <v>1</v>
      </c>
    </row>
    <row r="5" spans="1:5" x14ac:dyDescent="0.3">
      <c r="A5" t="s">
        <v>345</v>
      </c>
      <c r="B5" s="11">
        <v>46028</v>
      </c>
      <c r="C5" t="s">
        <v>346</v>
      </c>
      <c r="D5" t="s">
        <v>347</v>
      </c>
      <c r="E5">
        <v>10</v>
      </c>
    </row>
    <row r="6" spans="1:5" x14ac:dyDescent="0.3">
      <c r="A6" t="s">
        <v>348</v>
      </c>
      <c r="B6" s="11">
        <v>46029</v>
      </c>
      <c r="C6" t="s">
        <v>349</v>
      </c>
      <c r="D6" t="s">
        <v>350</v>
      </c>
      <c r="E6">
        <v>2</v>
      </c>
    </row>
    <row r="7" spans="1:5" x14ac:dyDescent="0.3">
      <c r="A7" t="s">
        <v>351</v>
      </c>
      <c r="B7" s="11">
        <v>46030</v>
      </c>
      <c r="C7" t="s">
        <v>352</v>
      </c>
      <c r="D7" t="s">
        <v>353</v>
      </c>
      <c r="E7">
        <v>15</v>
      </c>
    </row>
    <row r="8" spans="1:5" x14ac:dyDescent="0.3">
      <c r="A8" t="s">
        <v>354</v>
      </c>
      <c r="B8" s="11">
        <v>46030</v>
      </c>
      <c r="C8" t="s">
        <v>355</v>
      </c>
      <c r="D8" t="s">
        <v>356</v>
      </c>
      <c r="E8">
        <v>1</v>
      </c>
    </row>
    <row r="9" spans="1:5" x14ac:dyDescent="0.3">
      <c r="A9" t="s">
        <v>357</v>
      </c>
      <c r="B9" s="11">
        <v>46031</v>
      </c>
      <c r="C9" t="s">
        <v>358</v>
      </c>
      <c r="D9" t="s">
        <v>359</v>
      </c>
      <c r="E9">
        <v>1</v>
      </c>
    </row>
    <row r="10" spans="1:5" x14ac:dyDescent="0.3">
      <c r="A10" t="s">
        <v>360</v>
      </c>
      <c r="B10" s="11">
        <v>46032</v>
      </c>
      <c r="C10" t="s">
        <v>361</v>
      </c>
      <c r="D10" t="s">
        <v>338</v>
      </c>
      <c r="E10">
        <v>1</v>
      </c>
    </row>
    <row r="11" spans="1:5" x14ac:dyDescent="0.3">
      <c r="A11" t="s">
        <v>362</v>
      </c>
      <c r="B11" s="11">
        <v>46032</v>
      </c>
      <c r="C11" t="s">
        <v>363</v>
      </c>
      <c r="D11" t="s">
        <v>341</v>
      </c>
      <c r="E11">
        <v>3</v>
      </c>
    </row>
    <row r="12" spans="1:5" x14ac:dyDescent="0.3">
      <c r="A12" t="s">
        <v>364</v>
      </c>
      <c r="B12" s="11">
        <v>46033</v>
      </c>
      <c r="C12" t="s">
        <v>337</v>
      </c>
      <c r="D12" t="s">
        <v>356</v>
      </c>
      <c r="E12">
        <v>2</v>
      </c>
    </row>
    <row r="13" spans="1:5" x14ac:dyDescent="0.3">
      <c r="A13" t="s">
        <v>365</v>
      </c>
      <c r="B13" s="11">
        <v>46033</v>
      </c>
      <c r="C13" t="s">
        <v>340</v>
      </c>
      <c r="D13" t="s">
        <v>350</v>
      </c>
      <c r="E13">
        <v>1</v>
      </c>
    </row>
    <row r="14" spans="1:5" x14ac:dyDescent="0.3">
      <c r="A14" t="s">
        <v>366</v>
      </c>
      <c r="B14" s="11">
        <v>46034</v>
      </c>
      <c r="C14" t="s">
        <v>343</v>
      </c>
      <c r="D14" t="s">
        <v>353</v>
      </c>
      <c r="E14">
        <v>20</v>
      </c>
    </row>
    <row r="15" spans="1:5" x14ac:dyDescent="0.3">
      <c r="A15" t="s">
        <v>367</v>
      </c>
      <c r="B15" s="11">
        <v>46034</v>
      </c>
      <c r="C15" t="s">
        <v>346</v>
      </c>
      <c r="D15" t="s">
        <v>347</v>
      </c>
      <c r="E15">
        <v>15</v>
      </c>
    </row>
    <row r="16" spans="1:5" x14ac:dyDescent="0.3">
      <c r="A16" t="s">
        <v>368</v>
      </c>
      <c r="B16" s="11">
        <v>46035</v>
      </c>
      <c r="C16" t="s">
        <v>349</v>
      </c>
      <c r="D16" t="s">
        <v>344</v>
      </c>
      <c r="E16">
        <v>2</v>
      </c>
    </row>
    <row r="17" spans="1:5" x14ac:dyDescent="0.3">
      <c r="A17" t="s">
        <v>369</v>
      </c>
      <c r="B17" s="11">
        <v>46036</v>
      </c>
      <c r="C17" t="s">
        <v>352</v>
      </c>
      <c r="D17" t="s">
        <v>338</v>
      </c>
      <c r="E17">
        <v>1</v>
      </c>
    </row>
    <row r="18" spans="1:5" x14ac:dyDescent="0.3">
      <c r="A18" t="s">
        <v>370</v>
      </c>
      <c r="B18" s="11">
        <v>46037</v>
      </c>
      <c r="C18" t="s">
        <v>355</v>
      </c>
      <c r="D18" t="s">
        <v>341</v>
      </c>
      <c r="E18">
        <v>5</v>
      </c>
    </row>
    <row r="19" spans="1:5" x14ac:dyDescent="0.3">
      <c r="A19" t="s">
        <v>371</v>
      </c>
      <c r="B19" s="11">
        <v>46037</v>
      </c>
      <c r="C19" t="s">
        <v>358</v>
      </c>
      <c r="D19" t="s">
        <v>350</v>
      </c>
      <c r="E19">
        <v>2</v>
      </c>
    </row>
    <row r="20" spans="1:5" x14ac:dyDescent="0.3">
      <c r="A20" t="s">
        <v>372</v>
      </c>
      <c r="B20" s="11">
        <v>46038</v>
      </c>
      <c r="C20" t="s">
        <v>361</v>
      </c>
      <c r="D20" t="s">
        <v>353</v>
      </c>
      <c r="E20">
        <v>25</v>
      </c>
    </row>
    <row r="21" spans="1:5" x14ac:dyDescent="0.3">
      <c r="A21" t="s">
        <v>373</v>
      </c>
      <c r="B21" s="11">
        <v>46039</v>
      </c>
      <c r="C21" t="s">
        <v>363</v>
      </c>
      <c r="D21" t="s">
        <v>359</v>
      </c>
      <c r="E21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466C2-7110-46A6-A272-09D75165E9DF}">
  <dimension ref="A1:E9"/>
  <sheetViews>
    <sheetView workbookViewId="0">
      <selection activeCell="J12" sqref="J12"/>
    </sheetView>
  </sheetViews>
  <sheetFormatPr defaultRowHeight="14.4" x14ac:dyDescent="0.3"/>
  <cols>
    <col min="1" max="1" width="11.33203125" customWidth="1"/>
    <col min="2" max="2" width="14.5546875" customWidth="1"/>
    <col min="3" max="3" width="10.44140625" customWidth="1"/>
  </cols>
  <sheetData>
    <row r="1" spans="1:5" x14ac:dyDescent="0.3">
      <c r="A1" t="s">
        <v>335</v>
      </c>
      <c r="B1" t="s">
        <v>374</v>
      </c>
      <c r="C1" t="s">
        <v>300</v>
      </c>
      <c r="D1" t="s">
        <v>375</v>
      </c>
      <c r="E1" t="s">
        <v>376</v>
      </c>
    </row>
    <row r="2" spans="1:5" x14ac:dyDescent="0.3">
      <c r="A2" t="s">
        <v>338</v>
      </c>
      <c r="B2" t="s">
        <v>259</v>
      </c>
      <c r="C2" t="s">
        <v>253</v>
      </c>
      <c r="D2" t="s">
        <v>377</v>
      </c>
      <c r="E2">
        <v>55000</v>
      </c>
    </row>
    <row r="3" spans="1:5" x14ac:dyDescent="0.3">
      <c r="A3" t="s">
        <v>341</v>
      </c>
      <c r="B3" t="s">
        <v>378</v>
      </c>
      <c r="C3" t="s">
        <v>253</v>
      </c>
      <c r="D3" t="s">
        <v>379</v>
      </c>
      <c r="E3">
        <v>800</v>
      </c>
    </row>
    <row r="4" spans="1:5" x14ac:dyDescent="0.3">
      <c r="A4" t="s">
        <v>356</v>
      </c>
      <c r="B4" t="s">
        <v>380</v>
      </c>
      <c r="C4" t="s">
        <v>253</v>
      </c>
      <c r="D4" t="s">
        <v>381</v>
      </c>
      <c r="E4">
        <v>1500</v>
      </c>
    </row>
    <row r="5" spans="1:5" x14ac:dyDescent="0.3">
      <c r="A5" t="s">
        <v>344</v>
      </c>
      <c r="B5" t="s">
        <v>382</v>
      </c>
      <c r="C5" t="s">
        <v>253</v>
      </c>
      <c r="D5" t="s">
        <v>383</v>
      </c>
      <c r="E5">
        <v>12000</v>
      </c>
    </row>
    <row r="6" spans="1:5" x14ac:dyDescent="0.3">
      <c r="A6" t="s">
        <v>350</v>
      </c>
      <c r="B6" t="s">
        <v>280</v>
      </c>
      <c r="C6" t="s">
        <v>279</v>
      </c>
      <c r="D6" t="s">
        <v>384</v>
      </c>
      <c r="E6">
        <v>4500</v>
      </c>
    </row>
    <row r="7" spans="1:5" x14ac:dyDescent="0.3">
      <c r="A7" t="s">
        <v>359</v>
      </c>
      <c r="B7" t="s">
        <v>385</v>
      </c>
      <c r="C7" t="s">
        <v>279</v>
      </c>
      <c r="D7" t="s">
        <v>386</v>
      </c>
      <c r="E7">
        <v>8500</v>
      </c>
    </row>
    <row r="8" spans="1:5" x14ac:dyDescent="0.3">
      <c r="A8" t="s">
        <v>353</v>
      </c>
      <c r="B8" t="s">
        <v>387</v>
      </c>
      <c r="C8" t="s">
        <v>388</v>
      </c>
      <c r="D8" t="s">
        <v>389</v>
      </c>
      <c r="E8">
        <v>80</v>
      </c>
    </row>
    <row r="9" spans="1:5" x14ac:dyDescent="0.3">
      <c r="A9" t="s">
        <v>347</v>
      </c>
      <c r="B9" t="s">
        <v>390</v>
      </c>
      <c r="C9" t="s">
        <v>388</v>
      </c>
      <c r="D9" t="s">
        <v>391</v>
      </c>
      <c r="E9">
        <v>20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CB25A-A87C-419B-A078-40638282FEBC}">
  <dimension ref="A1:G53"/>
  <sheetViews>
    <sheetView workbookViewId="0">
      <selection sqref="A1:G53"/>
    </sheetView>
  </sheetViews>
  <sheetFormatPr defaultRowHeight="14.4" x14ac:dyDescent="0.3"/>
  <cols>
    <col min="1" max="1" width="13.44140625" customWidth="1"/>
    <col min="2" max="2" width="16.6640625" customWidth="1"/>
    <col min="3" max="3" width="13" customWidth="1"/>
    <col min="4" max="4" width="12.77734375" customWidth="1"/>
    <col min="6" max="6" width="13.109375" customWidth="1"/>
    <col min="7" max="7" width="10.109375" customWidth="1"/>
  </cols>
  <sheetData>
    <row r="1" spans="1:7" x14ac:dyDescent="0.3">
      <c r="A1" s="13" t="s">
        <v>392</v>
      </c>
      <c r="B1" s="13" t="s">
        <v>393</v>
      </c>
      <c r="C1" s="13" t="s">
        <v>394</v>
      </c>
      <c r="D1" s="13" t="s">
        <v>395</v>
      </c>
      <c r="E1" s="13" t="s">
        <v>396</v>
      </c>
      <c r="F1" s="13" t="s">
        <v>397</v>
      </c>
      <c r="G1" s="13" t="s">
        <v>398</v>
      </c>
    </row>
    <row r="2" spans="1:7" x14ac:dyDescent="0.3">
      <c r="A2" s="9">
        <v>101</v>
      </c>
      <c r="B2" s="9" t="s">
        <v>399</v>
      </c>
      <c r="C2" s="9" t="s">
        <v>400</v>
      </c>
      <c r="D2" s="9" t="s">
        <v>401</v>
      </c>
      <c r="E2" s="9">
        <v>55000</v>
      </c>
      <c r="F2" s="9" t="s">
        <v>402</v>
      </c>
      <c r="G2" s="9" t="s">
        <v>9</v>
      </c>
    </row>
    <row r="3" spans="1:7" x14ac:dyDescent="0.3">
      <c r="A3" s="9">
        <v>102</v>
      </c>
      <c r="B3" s="9" t="s">
        <v>403</v>
      </c>
      <c r="C3" s="9" t="s">
        <v>404</v>
      </c>
      <c r="D3" s="9" t="s">
        <v>405</v>
      </c>
      <c r="E3" s="9">
        <v>65000</v>
      </c>
      <c r="F3" s="9" t="s">
        <v>406</v>
      </c>
      <c r="G3" s="9" t="s">
        <v>226</v>
      </c>
    </row>
    <row r="4" spans="1:7" x14ac:dyDescent="0.3">
      <c r="A4" s="9">
        <v>103</v>
      </c>
      <c r="B4" s="9" t="s">
        <v>407</v>
      </c>
      <c r="C4" s="9" t="s">
        <v>408</v>
      </c>
      <c r="D4" s="9" t="s">
        <v>409</v>
      </c>
      <c r="E4" s="9">
        <v>48000</v>
      </c>
      <c r="F4" s="9" t="s">
        <v>410</v>
      </c>
      <c r="G4" s="9" t="s">
        <v>150</v>
      </c>
    </row>
    <row r="5" spans="1:7" x14ac:dyDescent="0.3">
      <c r="A5" s="9">
        <v>104</v>
      </c>
      <c r="B5" s="9" t="s">
        <v>411</v>
      </c>
      <c r="C5" s="9" t="s">
        <v>412</v>
      </c>
      <c r="D5" s="9" t="s">
        <v>413</v>
      </c>
      <c r="E5" s="9">
        <v>42000</v>
      </c>
      <c r="F5" s="9" t="s">
        <v>414</v>
      </c>
      <c r="G5" s="9" t="s">
        <v>415</v>
      </c>
    </row>
    <row r="6" spans="1:7" x14ac:dyDescent="0.3">
      <c r="A6" s="9">
        <v>105</v>
      </c>
      <c r="B6" s="9" t="s">
        <v>416</v>
      </c>
      <c r="C6" s="9" t="s">
        <v>404</v>
      </c>
      <c r="D6" s="9" t="s">
        <v>417</v>
      </c>
      <c r="E6" s="9">
        <v>40000</v>
      </c>
      <c r="F6" s="9" t="s">
        <v>418</v>
      </c>
      <c r="G6" s="9" t="s">
        <v>419</v>
      </c>
    </row>
    <row r="7" spans="1:7" x14ac:dyDescent="0.3">
      <c r="A7" s="9">
        <v>106</v>
      </c>
      <c r="B7" s="9" t="s">
        <v>420</v>
      </c>
      <c r="C7" s="9" t="s">
        <v>400</v>
      </c>
      <c r="D7" s="9" t="s">
        <v>421</v>
      </c>
      <c r="E7" s="9">
        <v>38000</v>
      </c>
      <c r="F7" s="9" t="s">
        <v>422</v>
      </c>
      <c r="G7" s="9" t="s">
        <v>43</v>
      </c>
    </row>
    <row r="8" spans="1:7" x14ac:dyDescent="0.3">
      <c r="A8" s="9">
        <v>107</v>
      </c>
      <c r="B8" s="9" t="s">
        <v>423</v>
      </c>
      <c r="C8" s="9" t="s">
        <v>303</v>
      </c>
      <c r="D8" s="9" t="s">
        <v>424</v>
      </c>
      <c r="E8" s="9">
        <v>45000</v>
      </c>
      <c r="F8" s="9" t="s">
        <v>425</v>
      </c>
      <c r="G8" s="9" t="s">
        <v>426</v>
      </c>
    </row>
    <row r="9" spans="1:7" x14ac:dyDescent="0.3">
      <c r="A9" s="9">
        <v>108</v>
      </c>
      <c r="B9" s="9" t="s">
        <v>427</v>
      </c>
      <c r="C9" s="9" t="s">
        <v>408</v>
      </c>
      <c r="D9" s="9" t="s">
        <v>428</v>
      </c>
      <c r="E9" s="9">
        <v>52000</v>
      </c>
      <c r="F9" s="9" t="s">
        <v>429</v>
      </c>
      <c r="G9" s="9" t="s">
        <v>264</v>
      </c>
    </row>
    <row r="10" spans="1:7" x14ac:dyDescent="0.3">
      <c r="A10" s="9">
        <v>109</v>
      </c>
      <c r="B10" s="9" t="s">
        <v>430</v>
      </c>
      <c r="C10" s="9" t="s">
        <v>404</v>
      </c>
      <c r="D10" s="9" t="s">
        <v>431</v>
      </c>
      <c r="E10" s="9">
        <v>75000</v>
      </c>
      <c r="F10" s="9" t="s">
        <v>432</v>
      </c>
      <c r="G10" s="9" t="s">
        <v>433</v>
      </c>
    </row>
    <row r="11" spans="1:7" x14ac:dyDescent="0.3">
      <c r="A11" s="9">
        <v>110</v>
      </c>
      <c r="B11" s="9" t="s">
        <v>434</v>
      </c>
      <c r="C11" s="9" t="s">
        <v>435</v>
      </c>
      <c r="D11" s="9" t="s">
        <v>436</v>
      </c>
      <c r="E11" s="9">
        <v>36000</v>
      </c>
      <c r="F11" s="9" t="s">
        <v>437</v>
      </c>
      <c r="G11" s="9" t="s">
        <v>438</v>
      </c>
    </row>
    <row r="12" spans="1:7" x14ac:dyDescent="0.3">
      <c r="A12" s="9">
        <v>111</v>
      </c>
      <c r="B12" s="9" t="s">
        <v>399</v>
      </c>
      <c r="C12" s="9" t="s">
        <v>400</v>
      </c>
      <c r="D12" s="9" t="s">
        <v>401</v>
      </c>
      <c r="E12" s="9">
        <v>47133.333333333299</v>
      </c>
      <c r="F12" s="9" t="s">
        <v>439</v>
      </c>
      <c r="G12" s="9" t="s">
        <v>9</v>
      </c>
    </row>
    <row r="13" spans="1:7" x14ac:dyDescent="0.3">
      <c r="A13" s="9">
        <v>112</v>
      </c>
      <c r="B13" s="9" t="s">
        <v>403</v>
      </c>
      <c r="C13" s="9" t="s">
        <v>404</v>
      </c>
      <c r="D13" s="9" t="s">
        <v>405</v>
      </c>
      <c r="E13" s="9">
        <v>46684.848484848502</v>
      </c>
      <c r="F13" s="9" t="s">
        <v>440</v>
      </c>
      <c r="G13" s="9" t="s">
        <v>226</v>
      </c>
    </row>
    <row r="14" spans="1:7" x14ac:dyDescent="0.3">
      <c r="A14" s="9">
        <v>113</v>
      </c>
      <c r="B14" s="9" t="s">
        <v>407</v>
      </c>
      <c r="C14" s="9" t="s">
        <v>408</v>
      </c>
      <c r="D14" s="9" t="s">
        <v>409</v>
      </c>
      <c r="E14" s="9">
        <v>46236.363636363603</v>
      </c>
      <c r="F14" s="9" t="s">
        <v>441</v>
      </c>
      <c r="G14" s="9" t="s">
        <v>150</v>
      </c>
    </row>
    <row r="15" spans="1:7" x14ac:dyDescent="0.3">
      <c r="A15" s="9">
        <v>114</v>
      </c>
      <c r="B15" s="9" t="s">
        <v>411</v>
      </c>
      <c r="C15" s="9" t="s">
        <v>412</v>
      </c>
      <c r="D15" s="9" t="s">
        <v>413</v>
      </c>
      <c r="E15" s="9">
        <v>45787.878787878799</v>
      </c>
      <c r="F15" s="9" t="s">
        <v>442</v>
      </c>
      <c r="G15" s="9" t="s">
        <v>415</v>
      </c>
    </row>
    <row r="16" spans="1:7" x14ac:dyDescent="0.3">
      <c r="A16" s="9">
        <v>115</v>
      </c>
      <c r="B16" s="9" t="s">
        <v>399</v>
      </c>
      <c r="C16" s="9" t="s">
        <v>400</v>
      </c>
      <c r="D16" s="9" t="s">
        <v>401</v>
      </c>
      <c r="E16" s="9">
        <v>45339.3939393939</v>
      </c>
      <c r="F16" s="9" t="s">
        <v>439</v>
      </c>
      <c r="G16" s="9" t="s">
        <v>9</v>
      </c>
    </row>
    <row r="17" spans="1:7" x14ac:dyDescent="0.3">
      <c r="A17" s="9">
        <v>116</v>
      </c>
      <c r="B17" s="9" t="s">
        <v>403</v>
      </c>
      <c r="C17" s="9" t="s">
        <v>404</v>
      </c>
      <c r="D17" s="9" t="s">
        <v>405</v>
      </c>
      <c r="E17" s="9">
        <v>44890.909090909103</v>
      </c>
      <c r="F17" s="9" t="s">
        <v>440</v>
      </c>
      <c r="G17" s="9" t="s">
        <v>226</v>
      </c>
    </row>
    <row r="18" spans="1:7" x14ac:dyDescent="0.3">
      <c r="A18" s="9">
        <v>117</v>
      </c>
      <c r="B18" s="9" t="s">
        <v>407</v>
      </c>
      <c r="C18" s="9" t="s">
        <v>408</v>
      </c>
      <c r="D18" s="9" t="s">
        <v>409</v>
      </c>
      <c r="E18" s="9">
        <v>44442.424242424197</v>
      </c>
      <c r="F18" s="9" t="s">
        <v>441</v>
      </c>
      <c r="G18" s="9" t="s">
        <v>150</v>
      </c>
    </row>
    <row r="19" spans="1:7" x14ac:dyDescent="0.3">
      <c r="A19" s="9">
        <v>118</v>
      </c>
      <c r="B19" s="9" t="s">
        <v>411</v>
      </c>
      <c r="C19" s="9" t="s">
        <v>412</v>
      </c>
      <c r="D19" s="9" t="s">
        <v>413</v>
      </c>
      <c r="E19" s="9">
        <v>43993.939393939399</v>
      </c>
      <c r="F19" s="9" t="s">
        <v>442</v>
      </c>
      <c r="G19" s="9" t="s">
        <v>415</v>
      </c>
    </row>
    <row r="20" spans="1:7" x14ac:dyDescent="0.3">
      <c r="A20" s="9">
        <v>119</v>
      </c>
      <c r="B20" s="9" t="s">
        <v>416</v>
      </c>
      <c r="C20" s="9" t="s">
        <v>404</v>
      </c>
      <c r="D20" s="9" t="s">
        <v>417</v>
      </c>
      <c r="E20" s="9">
        <v>43545.4545454545</v>
      </c>
      <c r="F20" s="9" t="s">
        <v>443</v>
      </c>
      <c r="G20" s="9" t="s">
        <v>419</v>
      </c>
    </row>
    <row r="21" spans="1:7" x14ac:dyDescent="0.3">
      <c r="A21" s="9">
        <v>120</v>
      </c>
      <c r="B21" s="9" t="s">
        <v>420</v>
      </c>
      <c r="C21" s="9" t="s">
        <v>400</v>
      </c>
      <c r="D21" s="9" t="s">
        <v>421</v>
      </c>
      <c r="E21" s="9">
        <v>43096.969696969703</v>
      </c>
      <c r="F21" s="9" t="s">
        <v>444</v>
      </c>
      <c r="G21" s="9" t="s">
        <v>43</v>
      </c>
    </row>
    <row r="22" spans="1:7" x14ac:dyDescent="0.3">
      <c r="A22" s="9">
        <v>121</v>
      </c>
      <c r="B22" s="9" t="s">
        <v>423</v>
      </c>
      <c r="C22" s="9" t="s">
        <v>303</v>
      </c>
      <c r="D22" s="9" t="s">
        <v>424</v>
      </c>
      <c r="E22" s="9">
        <v>42648.484848484797</v>
      </c>
      <c r="F22" s="9" t="s">
        <v>445</v>
      </c>
      <c r="G22" s="9" t="s">
        <v>426</v>
      </c>
    </row>
    <row r="23" spans="1:7" x14ac:dyDescent="0.3">
      <c r="A23" s="9">
        <v>122</v>
      </c>
      <c r="B23" s="9" t="s">
        <v>427</v>
      </c>
      <c r="C23" s="9" t="s">
        <v>408</v>
      </c>
      <c r="D23" s="9" t="s">
        <v>428</v>
      </c>
      <c r="E23" s="9">
        <v>42200</v>
      </c>
      <c r="F23" s="9" t="s">
        <v>446</v>
      </c>
      <c r="G23" s="9" t="s">
        <v>264</v>
      </c>
    </row>
    <row r="24" spans="1:7" x14ac:dyDescent="0.3">
      <c r="A24" s="9">
        <v>123</v>
      </c>
      <c r="B24" s="9" t="s">
        <v>430</v>
      </c>
      <c r="C24" s="9" t="s">
        <v>404</v>
      </c>
      <c r="D24" s="9" t="s">
        <v>431</v>
      </c>
      <c r="E24" s="9">
        <v>41751.515151515101</v>
      </c>
      <c r="F24" s="9" t="s">
        <v>447</v>
      </c>
      <c r="G24" s="9" t="s">
        <v>433</v>
      </c>
    </row>
    <row r="25" spans="1:7" x14ac:dyDescent="0.3">
      <c r="A25" s="9">
        <v>124</v>
      </c>
      <c r="B25" s="9" t="s">
        <v>434</v>
      </c>
      <c r="C25" s="9" t="s">
        <v>435</v>
      </c>
      <c r="D25" s="9" t="s">
        <v>436</v>
      </c>
      <c r="E25" s="9">
        <v>41303.030303030297</v>
      </c>
      <c r="F25" s="9" t="s">
        <v>448</v>
      </c>
      <c r="G25" s="9" t="s">
        <v>438</v>
      </c>
    </row>
    <row r="26" spans="1:7" x14ac:dyDescent="0.3">
      <c r="A26" s="9">
        <v>125</v>
      </c>
      <c r="B26" s="9" t="s">
        <v>399</v>
      </c>
      <c r="C26" s="9" t="s">
        <v>400</v>
      </c>
      <c r="D26" s="9" t="s">
        <v>401</v>
      </c>
      <c r="E26" s="9">
        <v>40854.545454545398</v>
      </c>
      <c r="F26" s="9" t="s">
        <v>449</v>
      </c>
      <c r="G26" s="9" t="s">
        <v>9</v>
      </c>
    </row>
    <row r="27" spans="1:7" x14ac:dyDescent="0.3">
      <c r="A27" s="9">
        <v>126</v>
      </c>
      <c r="B27" s="9" t="s">
        <v>403</v>
      </c>
      <c r="C27" s="9" t="s">
        <v>404</v>
      </c>
      <c r="D27" s="9" t="s">
        <v>405</v>
      </c>
      <c r="E27" s="9">
        <v>40406.060606060601</v>
      </c>
      <c r="F27" s="9" t="s">
        <v>450</v>
      </c>
      <c r="G27" s="9" t="s">
        <v>226</v>
      </c>
    </row>
    <row r="28" spans="1:7" x14ac:dyDescent="0.3">
      <c r="A28" s="9">
        <v>127</v>
      </c>
      <c r="B28" s="9" t="s">
        <v>407</v>
      </c>
      <c r="C28" s="9" t="s">
        <v>408</v>
      </c>
      <c r="D28" s="9" t="s">
        <v>409</v>
      </c>
      <c r="E28" s="9">
        <v>39957.575757575702</v>
      </c>
      <c r="F28" s="9" t="s">
        <v>451</v>
      </c>
      <c r="G28" s="9" t="s">
        <v>150</v>
      </c>
    </row>
    <row r="29" spans="1:7" x14ac:dyDescent="0.3">
      <c r="A29" s="9">
        <v>128</v>
      </c>
      <c r="B29" s="9" t="s">
        <v>411</v>
      </c>
      <c r="C29" s="9" t="s">
        <v>412</v>
      </c>
      <c r="D29" s="9" t="s">
        <v>413</v>
      </c>
      <c r="E29" s="9">
        <v>39509.090909090897</v>
      </c>
      <c r="F29" s="9" t="s">
        <v>452</v>
      </c>
      <c r="G29" s="9" t="s">
        <v>415</v>
      </c>
    </row>
    <row r="30" spans="1:7" x14ac:dyDescent="0.3">
      <c r="A30" s="9">
        <v>129</v>
      </c>
      <c r="B30" s="9" t="s">
        <v>399</v>
      </c>
      <c r="C30" s="9" t="s">
        <v>400</v>
      </c>
      <c r="D30" s="9" t="s">
        <v>401</v>
      </c>
      <c r="E30" s="9">
        <v>39060.606060605998</v>
      </c>
      <c r="F30" s="9" t="s">
        <v>449</v>
      </c>
      <c r="G30" s="9" t="s">
        <v>9</v>
      </c>
    </row>
    <row r="31" spans="1:7" x14ac:dyDescent="0.3">
      <c r="A31" s="9">
        <v>130</v>
      </c>
      <c r="B31" s="9" t="s">
        <v>403</v>
      </c>
      <c r="C31" s="9" t="s">
        <v>404</v>
      </c>
      <c r="D31" s="9" t="s">
        <v>405</v>
      </c>
      <c r="E31" s="9">
        <v>38612.121212121201</v>
      </c>
      <c r="F31" s="9" t="s">
        <v>450</v>
      </c>
      <c r="G31" s="9" t="s">
        <v>226</v>
      </c>
    </row>
    <row r="32" spans="1:7" x14ac:dyDescent="0.3">
      <c r="A32" s="9">
        <v>131</v>
      </c>
      <c r="B32" s="9" t="s">
        <v>407</v>
      </c>
      <c r="C32" s="9" t="s">
        <v>408</v>
      </c>
      <c r="D32" s="9" t="s">
        <v>409</v>
      </c>
      <c r="E32" s="9">
        <v>38163.636363636302</v>
      </c>
      <c r="F32" s="9" t="s">
        <v>451</v>
      </c>
      <c r="G32" s="9" t="s">
        <v>150</v>
      </c>
    </row>
    <row r="33" spans="1:7" x14ac:dyDescent="0.3">
      <c r="A33" s="9">
        <v>132</v>
      </c>
      <c r="B33" s="9" t="s">
        <v>411</v>
      </c>
      <c r="C33" s="9" t="s">
        <v>412</v>
      </c>
      <c r="D33" s="9" t="s">
        <v>413</v>
      </c>
      <c r="E33" s="9">
        <v>37715.151515151498</v>
      </c>
      <c r="F33" s="9" t="s">
        <v>452</v>
      </c>
      <c r="G33" s="9" t="s">
        <v>415</v>
      </c>
    </row>
    <row r="34" spans="1:7" x14ac:dyDescent="0.3">
      <c r="A34" s="9">
        <v>133</v>
      </c>
      <c r="B34" s="9" t="s">
        <v>416</v>
      </c>
      <c r="C34" s="9" t="s">
        <v>404</v>
      </c>
      <c r="D34" s="9" t="s">
        <v>417</v>
      </c>
      <c r="E34" s="9">
        <v>37266.666666666599</v>
      </c>
      <c r="F34" s="9" t="s">
        <v>453</v>
      </c>
      <c r="G34" s="9" t="s">
        <v>419</v>
      </c>
    </row>
    <row r="35" spans="1:7" x14ac:dyDescent="0.3">
      <c r="A35" s="9">
        <v>134</v>
      </c>
      <c r="B35" s="9" t="s">
        <v>420</v>
      </c>
      <c r="C35" s="9" t="s">
        <v>400</v>
      </c>
      <c r="D35" s="9" t="s">
        <v>421</v>
      </c>
      <c r="E35" s="9">
        <v>36818.181818181802</v>
      </c>
      <c r="F35" s="9" t="s">
        <v>454</v>
      </c>
      <c r="G35" s="9" t="s">
        <v>43</v>
      </c>
    </row>
    <row r="36" spans="1:7" x14ac:dyDescent="0.3">
      <c r="A36" s="9">
        <v>135</v>
      </c>
      <c r="B36" s="9" t="s">
        <v>423</v>
      </c>
      <c r="C36" s="9" t="s">
        <v>303</v>
      </c>
      <c r="D36" s="9" t="s">
        <v>424</v>
      </c>
      <c r="E36" s="9">
        <v>36369.696969696903</v>
      </c>
      <c r="F36" s="9" t="s">
        <v>455</v>
      </c>
      <c r="G36" s="9" t="s">
        <v>426</v>
      </c>
    </row>
    <row r="37" spans="1:7" x14ac:dyDescent="0.3">
      <c r="A37" s="9">
        <v>136</v>
      </c>
      <c r="B37" s="9" t="s">
        <v>427</v>
      </c>
      <c r="C37" s="9" t="s">
        <v>408</v>
      </c>
      <c r="D37" s="9" t="s">
        <v>428</v>
      </c>
      <c r="E37" s="9">
        <v>35921.212121212098</v>
      </c>
      <c r="F37" s="9" t="s">
        <v>456</v>
      </c>
      <c r="G37" s="9" t="s">
        <v>264</v>
      </c>
    </row>
    <row r="38" spans="1:7" x14ac:dyDescent="0.3">
      <c r="A38" s="9">
        <v>137</v>
      </c>
      <c r="B38" s="9" t="s">
        <v>430</v>
      </c>
      <c r="C38" s="9" t="s">
        <v>404</v>
      </c>
      <c r="D38" s="9" t="s">
        <v>431</v>
      </c>
      <c r="E38" s="9">
        <v>35472.727272727199</v>
      </c>
      <c r="F38" s="9" t="s">
        <v>457</v>
      </c>
      <c r="G38" s="9" t="s">
        <v>433</v>
      </c>
    </row>
    <row r="39" spans="1:7" x14ac:dyDescent="0.3">
      <c r="A39" s="9">
        <v>138</v>
      </c>
      <c r="B39" s="9" t="s">
        <v>434</v>
      </c>
      <c r="C39" s="9" t="s">
        <v>435</v>
      </c>
      <c r="D39" s="9" t="s">
        <v>436</v>
      </c>
      <c r="E39" s="9">
        <v>35024.242424242402</v>
      </c>
      <c r="F39" s="9" t="s">
        <v>458</v>
      </c>
      <c r="G39" s="9" t="s">
        <v>438</v>
      </c>
    </row>
    <row r="40" spans="1:7" x14ac:dyDescent="0.3">
      <c r="A40" s="9">
        <v>139</v>
      </c>
      <c r="B40" s="9" t="s">
        <v>399</v>
      </c>
      <c r="C40" s="9" t="s">
        <v>400</v>
      </c>
      <c r="D40" s="9" t="s">
        <v>401</v>
      </c>
      <c r="E40" s="9">
        <v>34575.757575757503</v>
      </c>
      <c r="F40" s="9" t="s">
        <v>459</v>
      </c>
      <c r="G40" s="9" t="s">
        <v>9</v>
      </c>
    </row>
    <row r="41" spans="1:7" x14ac:dyDescent="0.3">
      <c r="A41" s="9">
        <v>140</v>
      </c>
      <c r="B41" s="9" t="s">
        <v>403</v>
      </c>
      <c r="C41" s="9" t="s">
        <v>404</v>
      </c>
      <c r="D41" s="9" t="s">
        <v>405</v>
      </c>
      <c r="E41" s="9">
        <v>34127.272727272699</v>
      </c>
      <c r="F41" s="9" t="s">
        <v>460</v>
      </c>
      <c r="G41" s="9" t="s">
        <v>226</v>
      </c>
    </row>
    <row r="42" spans="1:7" x14ac:dyDescent="0.3">
      <c r="A42" s="9">
        <v>141</v>
      </c>
      <c r="B42" s="9" t="s">
        <v>407</v>
      </c>
      <c r="C42" s="9" t="s">
        <v>408</v>
      </c>
      <c r="D42" s="9" t="s">
        <v>409</v>
      </c>
      <c r="E42" s="9">
        <v>33678.7878787878</v>
      </c>
      <c r="F42" s="9" t="s">
        <v>461</v>
      </c>
      <c r="G42" s="9" t="s">
        <v>150</v>
      </c>
    </row>
    <row r="43" spans="1:7" x14ac:dyDescent="0.3">
      <c r="A43" s="9">
        <v>142</v>
      </c>
      <c r="B43" s="9" t="s">
        <v>411</v>
      </c>
      <c r="C43" s="9" t="s">
        <v>412</v>
      </c>
      <c r="D43" s="9" t="s">
        <v>413</v>
      </c>
      <c r="E43" s="9">
        <v>33230.303030303003</v>
      </c>
      <c r="F43" s="9" t="s">
        <v>462</v>
      </c>
      <c r="G43" s="9" t="s">
        <v>415</v>
      </c>
    </row>
    <row r="44" spans="1:7" x14ac:dyDescent="0.3">
      <c r="A44" s="9">
        <v>143</v>
      </c>
      <c r="B44" s="9" t="s">
        <v>399</v>
      </c>
      <c r="C44" s="9" t="s">
        <v>400</v>
      </c>
      <c r="D44" s="9" t="s">
        <v>401</v>
      </c>
      <c r="E44" s="9">
        <v>32781.818181818096</v>
      </c>
      <c r="F44" s="9" t="s">
        <v>459</v>
      </c>
      <c r="G44" s="9" t="s">
        <v>9</v>
      </c>
    </row>
    <row r="45" spans="1:7" x14ac:dyDescent="0.3">
      <c r="A45" s="9">
        <v>144</v>
      </c>
      <c r="B45" s="9" t="s">
        <v>403</v>
      </c>
      <c r="C45" s="9" t="s">
        <v>404</v>
      </c>
      <c r="D45" s="9" t="s">
        <v>405</v>
      </c>
      <c r="E45" s="9">
        <v>32333.333333333299</v>
      </c>
      <c r="F45" s="9" t="s">
        <v>460</v>
      </c>
      <c r="G45" s="9" t="s">
        <v>226</v>
      </c>
    </row>
    <row r="46" spans="1:7" x14ac:dyDescent="0.3">
      <c r="A46" s="9">
        <v>145</v>
      </c>
      <c r="B46" s="9" t="s">
        <v>407</v>
      </c>
      <c r="C46" s="9" t="s">
        <v>408</v>
      </c>
      <c r="D46" s="9" t="s">
        <v>409</v>
      </c>
      <c r="E46" s="9">
        <v>31884.848484848499</v>
      </c>
      <c r="F46" s="9" t="s">
        <v>461</v>
      </c>
      <c r="G46" s="9" t="s">
        <v>150</v>
      </c>
    </row>
    <row r="47" spans="1:7" x14ac:dyDescent="0.3">
      <c r="A47" s="9">
        <v>146</v>
      </c>
      <c r="B47" s="9" t="s">
        <v>411</v>
      </c>
      <c r="C47" s="9" t="s">
        <v>412</v>
      </c>
      <c r="D47" s="9" t="s">
        <v>413</v>
      </c>
      <c r="E47" s="9">
        <v>31436.3636363636</v>
      </c>
      <c r="F47" s="9" t="s">
        <v>462</v>
      </c>
      <c r="G47" s="9" t="s">
        <v>415</v>
      </c>
    </row>
    <row r="48" spans="1:7" x14ac:dyDescent="0.3">
      <c r="A48" s="9">
        <v>147</v>
      </c>
      <c r="B48" s="9" t="s">
        <v>416</v>
      </c>
      <c r="C48" s="9" t="s">
        <v>404</v>
      </c>
      <c r="D48" s="9" t="s">
        <v>417</v>
      </c>
      <c r="E48" s="9">
        <v>30987.878787878799</v>
      </c>
      <c r="F48" s="9" t="s">
        <v>463</v>
      </c>
      <c r="G48" s="9" t="s">
        <v>419</v>
      </c>
    </row>
    <row r="49" spans="1:7" x14ac:dyDescent="0.3">
      <c r="A49" s="9">
        <v>148</v>
      </c>
      <c r="B49" s="9" t="s">
        <v>420</v>
      </c>
      <c r="C49" s="9" t="s">
        <v>400</v>
      </c>
      <c r="D49" s="9" t="s">
        <v>421</v>
      </c>
      <c r="E49" s="9">
        <v>30539.3939393939</v>
      </c>
      <c r="F49" s="9" t="s">
        <v>464</v>
      </c>
      <c r="G49" s="9" t="s">
        <v>43</v>
      </c>
    </row>
    <row r="50" spans="1:7" x14ac:dyDescent="0.3">
      <c r="A50" s="9">
        <v>149</v>
      </c>
      <c r="B50" s="9" t="s">
        <v>423</v>
      </c>
      <c r="C50" s="9" t="s">
        <v>303</v>
      </c>
      <c r="D50" s="9" t="s">
        <v>424</v>
      </c>
      <c r="E50" s="9">
        <v>30090.909090909099</v>
      </c>
      <c r="F50" s="9" t="s">
        <v>465</v>
      </c>
      <c r="G50" s="9" t="s">
        <v>426</v>
      </c>
    </row>
    <row r="51" spans="1:7" x14ac:dyDescent="0.3">
      <c r="A51" s="9">
        <v>150</v>
      </c>
      <c r="B51" s="9" t="s">
        <v>427</v>
      </c>
      <c r="C51" s="9" t="s">
        <v>408</v>
      </c>
      <c r="D51" s="9" t="s">
        <v>428</v>
      </c>
      <c r="E51" s="9">
        <v>29642.4242424242</v>
      </c>
      <c r="F51" s="9" t="s">
        <v>466</v>
      </c>
      <c r="G51" s="9" t="s">
        <v>264</v>
      </c>
    </row>
    <row r="52" spans="1:7" x14ac:dyDescent="0.3">
      <c r="A52" s="9">
        <v>151</v>
      </c>
      <c r="B52" s="9" t="s">
        <v>430</v>
      </c>
      <c r="C52" s="9" t="s">
        <v>404</v>
      </c>
      <c r="D52" s="9" t="s">
        <v>431</v>
      </c>
      <c r="E52" s="9">
        <v>29193.939393939399</v>
      </c>
      <c r="F52" s="9" t="s">
        <v>467</v>
      </c>
      <c r="G52" s="9" t="s">
        <v>433</v>
      </c>
    </row>
    <row r="53" spans="1:7" x14ac:dyDescent="0.3">
      <c r="A53" s="9">
        <v>152</v>
      </c>
      <c r="B53" s="9" t="s">
        <v>434</v>
      </c>
      <c r="C53" s="9" t="s">
        <v>435</v>
      </c>
      <c r="D53" s="9" t="s">
        <v>436</v>
      </c>
      <c r="E53" s="9">
        <v>28745.4545454545</v>
      </c>
      <c r="F53" s="9" t="s">
        <v>468</v>
      </c>
      <c r="G53" s="9" t="s">
        <v>438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47FB7-A3BA-4CC6-BB67-18B81ADE4614}">
  <dimension ref="A1:I190"/>
  <sheetViews>
    <sheetView workbookViewId="0">
      <selection sqref="A1:I49"/>
    </sheetView>
  </sheetViews>
  <sheetFormatPr defaultRowHeight="14.4" x14ac:dyDescent="0.3"/>
  <cols>
    <col min="1" max="1" width="9" bestFit="1" customWidth="1"/>
    <col min="2" max="2" width="11.5546875" bestFit="1" customWidth="1"/>
    <col min="3" max="3" width="9.33203125" bestFit="1" customWidth="1"/>
    <col min="4" max="4" width="15.88671875" bestFit="1" customWidth="1"/>
    <col min="5" max="5" width="11.6640625" bestFit="1" customWidth="1"/>
    <col min="6" max="6" width="9" bestFit="1" customWidth="1"/>
    <col min="7" max="7" width="17.88671875" bestFit="1" customWidth="1"/>
    <col min="8" max="8" width="9.77734375" bestFit="1" customWidth="1"/>
    <col min="9" max="9" width="6.88671875" bestFit="1" customWidth="1"/>
  </cols>
  <sheetData>
    <row r="1" spans="1:9" x14ac:dyDescent="0.3">
      <c r="A1" t="s">
        <v>885</v>
      </c>
      <c r="B1" t="s">
        <v>886</v>
      </c>
      <c r="C1" t="s">
        <v>887</v>
      </c>
      <c r="D1" t="s">
        <v>308</v>
      </c>
      <c r="E1" t="s">
        <v>888</v>
      </c>
      <c r="F1" t="s">
        <v>297</v>
      </c>
      <c r="G1" t="s">
        <v>889</v>
      </c>
      <c r="H1" t="s">
        <v>890</v>
      </c>
      <c r="I1" t="s">
        <v>891</v>
      </c>
    </row>
    <row r="2" spans="1:9" x14ac:dyDescent="0.3">
      <c r="A2" t="s">
        <v>892</v>
      </c>
      <c r="B2">
        <v>1200</v>
      </c>
      <c r="C2" t="s">
        <v>256</v>
      </c>
      <c r="D2" t="s">
        <v>257</v>
      </c>
      <c r="E2" t="s">
        <v>893</v>
      </c>
      <c r="F2" t="s">
        <v>894</v>
      </c>
      <c r="G2" t="s">
        <v>258</v>
      </c>
      <c r="H2" t="s">
        <v>895</v>
      </c>
      <c r="I2">
        <v>2025</v>
      </c>
    </row>
    <row r="3" spans="1:9" x14ac:dyDescent="0.3">
      <c r="A3" t="s">
        <v>892</v>
      </c>
      <c r="B3">
        <v>900</v>
      </c>
      <c r="C3" t="s">
        <v>261</v>
      </c>
      <c r="D3" t="s">
        <v>268</v>
      </c>
      <c r="E3" t="s">
        <v>893</v>
      </c>
      <c r="F3" t="s">
        <v>894</v>
      </c>
      <c r="G3" t="s">
        <v>263</v>
      </c>
      <c r="H3" t="s">
        <v>895</v>
      </c>
      <c r="I3">
        <v>2025</v>
      </c>
    </row>
    <row r="4" spans="1:9" x14ac:dyDescent="0.3">
      <c r="A4" t="s">
        <v>896</v>
      </c>
      <c r="B4">
        <v>1500</v>
      </c>
      <c r="C4" t="s">
        <v>256</v>
      </c>
      <c r="D4" t="s">
        <v>257</v>
      </c>
      <c r="E4" t="s">
        <v>897</v>
      </c>
      <c r="F4" t="s">
        <v>898</v>
      </c>
      <c r="G4" t="s">
        <v>258</v>
      </c>
      <c r="H4" t="s">
        <v>899</v>
      </c>
      <c r="I4">
        <v>2025</v>
      </c>
    </row>
    <row r="5" spans="1:9" x14ac:dyDescent="0.3">
      <c r="A5" t="s">
        <v>896</v>
      </c>
      <c r="B5">
        <v>1100</v>
      </c>
      <c r="C5" t="s">
        <v>261</v>
      </c>
      <c r="D5" t="s">
        <v>257</v>
      </c>
      <c r="E5" t="s">
        <v>893</v>
      </c>
      <c r="F5" t="s">
        <v>898</v>
      </c>
      <c r="G5" t="s">
        <v>258</v>
      </c>
      <c r="H5" t="s">
        <v>899</v>
      </c>
      <c r="I5">
        <v>2025</v>
      </c>
    </row>
    <row r="6" spans="1:9" x14ac:dyDescent="0.3">
      <c r="A6" t="s">
        <v>900</v>
      </c>
      <c r="B6">
        <v>1800</v>
      </c>
      <c r="C6" t="s">
        <v>256</v>
      </c>
      <c r="D6" t="s">
        <v>268</v>
      </c>
      <c r="E6" t="s">
        <v>901</v>
      </c>
      <c r="F6" t="s">
        <v>902</v>
      </c>
      <c r="G6" t="s">
        <v>263</v>
      </c>
      <c r="H6" t="s">
        <v>903</v>
      </c>
      <c r="I6">
        <v>2025</v>
      </c>
    </row>
    <row r="7" spans="1:9" x14ac:dyDescent="0.3">
      <c r="A7" t="s">
        <v>900</v>
      </c>
      <c r="B7">
        <v>1400</v>
      </c>
      <c r="C7" t="s">
        <v>261</v>
      </c>
      <c r="D7" t="s">
        <v>257</v>
      </c>
      <c r="E7" t="s">
        <v>893</v>
      </c>
      <c r="F7" t="s">
        <v>902</v>
      </c>
      <c r="G7" t="s">
        <v>258</v>
      </c>
      <c r="H7" t="s">
        <v>903</v>
      </c>
      <c r="I7">
        <v>2025</v>
      </c>
    </row>
    <row r="8" spans="1:9" x14ac:dyDescent="0.3">
      <c r="A8" t="s">
        <v>255</v>
      </c>
      <c r="B8">
        <v>2000</v>
      </c>
      <c r="C8" t="s">
        <v>256</v>
      </c>
      <c r="D8" t="s">
        <v>257</v>
      </c>
      <c r="E8" t="s">
        <v>893</v>
      </c>
      <c r="F8" t="s">
        <v>904</v>
      </c>
      <c r="G8" t="s">
        <v>258</v>
      </c>
      <c r="H8" t="s">
        <v>905</v>
      </c>
      <c r="I8">
        <v>2025</v>
      </c>
    </row>
    <row r="9" spans="1:9" x14ac:dyDescent="0.3">
      <c r="A9" t="s">
        <v>255</v>
      </c>
      <c r="B9">
        <v>1700</v>
      </c>
      <c r="C9" t="s">
        <v>261</v>
      </c>
      <c r="D9" t="s">
        <v>268</v>
      </c>
      <c r="E9" t="s">
        <v>901</v>
      </c>
      <c r="F9" t="s">
        <v>904</v>
      </c>
      <c r="G9" t="s">
        <v>263</v>
      </c>
      <c r="H9" t="s">
        <v>905</v>
      </c>
      <c r="I9">
        <v>2025</v>
      </c>
    </row>
    <row r="10" spans="1:9" x14ac:dyDescent="0.3">
      <c r="A10" t="s">
        <v>906</v>
      </c>
      <c r="B10">
        <v>2500</v>
      </c>
      <c r="C10" t="s">
        <v>256</v>
      </c>
      <c r="D10" t="s">
        <v>257</v>
      </c>
      <c r="E10" t="s">
        <v>897</v>
      </c>
      <c r="F10" t="s">
        <v>894</v>
      </c>
      <c r="G10" t="s">
        <v>258</v>
      </c>
      <c r="H10" t="s">
        <v>907</v>
      </c>
      <c r="I10">
        <v>2025</v>
      </c>
    </row>
    <row r="11" spans="1:9" x14ac:dyDescent="0.3">
      <c r="A11" t="s">
        <v>906</v>
      </c>
      <c r="B11">
        <v>2100</v>
      </c>
      <c r="C11" t="s">
        <v>261</v>
      </c>
      <c r="D11" t="s">
        <v>257</v>
      </c>
      <c r="E11" t="s">
        <v>893</v>
      </c>
      <c r="F11" t="s">
        <v>894</v>
      </c>
      <c r="G11" t="s">
        <v>258</v>
      </c>
      <c r="H11" t="s">
        <v>907</v>
      </c>
      <c r="I11">
        <v>2025</v>
      </c>
    </row>
    <row r="12" spans="1:9" x14ac:dyDescent="0.3">
      <c r="A12" t="s">
        <v>892</v>
      </c>
      <c r="B12">
        <v>800</v>
      </c>
      <c r="C12" t="s">
        <v>256</v>
      </c>
      <c r="D12" t="s">
        <v>268</v>
      </c>
      <c r="E12" t="s">
        <v>908</v>
      </c>
      <c r="F12" t="s">
        <v>898</v>
      </c>
      <c r="G12" t="s">
        <v>263</v>
      </c>
      <c r="H12" t="s">
        <v>909</v>
      </c>
      <c r="I12">
        <v>2025</v>
      </c>
    </row>
    <row r="13" spans="1:9" x14ac:dyDescent="0.3">
      <c r="A13" t="s">
        <v>896</v>
      </c>
      <c r="B13">
        <v>1300</v>
      </c>
      <c r="C13" t="s">
        <v>261</v>
      </c>
      <c r="D13" t="s">
        <v>257</v>
      </c>
      <c r="E13" t="s">
        <v>897</v>
      </c>
      <c r="F13" t="s">
        <v>902</v>
      </c>
      <c r="G13" t="s">
        <v>258</v>
      </c>
      <c r="H13" t="s">
        <v>909</v>
      </c>
      <c r="I13">
        <v>2025</v>
      </c>
    </row>
    <row r="14" spans="1:9" x14ac:dyDescent="0.3">
      <c r="A14" t="s">
        <v>900</v>
      </c>
      <c r="B14">
        <v>1600</v>
      </c>
      <c r="C14" t="s">
        <v>256</v>
      </c>
      <c r="D14" t="s">
        <v>257</v>
      </c>
      <c r="E14" t="s">
        <v>893</v>
      </c>
      <c r="F14" t="s">
        <v>904</v>
      </c>
      <c r="G14" t="s">
        <v>258</v>
      </c>
      <c r="H14" t="s">
        <v>910</v>
      </c>
      <c r="I14">
        <v>2025</v>
      </c>
    </row>
    <row r="15" spans="1:9" x14ac:dyDescent="0.3">
      <c r="A15" t="s">
        <v>255</v>
      </c>
      <c r="B15">
        <v>1900</v>
      </c>
      <c r="C15" t="s">
        <v>261</v>
      </c>
      <c r="D15" t="s">
        <v>268</v>
      </c>
      <c r="E15" t="s">
        <v>901</v>
      </c>
      <c r="F15" t="s">
        <v>898</v>
      </c>
      <c r="G15" t="s">
        <v>263</v>
      </c>
      <c r="H15" t="s">
        <v>910</v>
      </c>
      <c r="I15">
        <v>2025</v>
      </c>
    </row>
    <row r="16" spans="1:9" x14ac:dyDescent="0.3">
      <c r="A16" t="s">
        <v>906</v>
      </c>
      <c r="B16">
        <v>2300</v>
      </c>
      <c r="C16" t="s">
        <v>256</v>
      </c>
      <c r="D16" t="s">
        <v>257</v>
      </c>
      <c r="E16" t="s">
        <v>897</v>
      </c>
      <c r="F16" t="s">
        <v>902</v>
      </c>
      <c r="G16" t="s">
        <v>258</v>
      </c>
      <c r="H16" t="s">
        <v>911</v>
      </c>
      <c r="I16">
        <v>2025</v>
      </c>
    </row>
    <row r="17" spans="1:9" x14ac:dyDescent="0.3">
      <c r="A17" t="s">
        <v>906</v>
      </c>
      <c r="B17">
        <v>2000</v>
      </c>
      <c r="C17" t="s">
        <v>261</v>
      </c>
      <c r="D17" t="s">
        <v>257</v>
      </c>
      <c r="E17" t="s">
        <v>893</v>
      </c>
      <c r="F17" t="s">
        <v>902</v>
      </c>
      <c r="G17" t="s">
        <v>258</v>
      </c>
      <c r="H17" t="s">
        <v>911</v>
      </c>
      <c r="I17">
        <v>2025</v>
      </c>
    </row>
    <row r="18" spans="1:9" x14ac:dyDescent="0.3">
      <c r="A18" t="s">
        <v>896</v>
      </c>
      <c r="B18">
        <v>1000</v>
      </c>
      <c r="C18" t="s">
        <v>256</v>
      </c>
      <c r="D18" t="s">
        <v>268</v>
      </c>
      <c r="E18" t="s">
        <v>901</v>
      </c>
      <c r="F18" t="s">
        <v>894</v>
      </c>
      <c r="G18" t="s">
        <v>263</v>
      </c>
      <c r="H18" t="s">
        <v>912</v>
      </c>
      <c r="I18">
        <v>2025</v>
      </c>
    </row>
    <row r="19" spans="1:9" x14ac:dyDescent="0.3">
      <c r="A19" t="s">
        <v>900</v>
      </c>
      <c r="B19">
        <v>1700</v>
      </c>
      <c r="C19" t="s">
        <v>261</v>
      </c>
      <c r="D19" t="s">
        <v>257</v>
      </c>
      <c r="E19" t="s">
        <v>893</v>
      </c>
      <c r="F19" t="s">
        <v>904</v>
      </c>
      <c r="G19" t="s">
        <v>258</v>
      </c>
      <c r="H19" t="s">
        <v>912</v>
      </c>
      <c r="I19">
        <v>2025</v>
      </c>
    </row>
    <row r="20" spans="1:9" x14ac:dyDescent="0.3">
      <c r="A20" t="s">
        <v>255</v>
      </c>
      <c r="B20">
        <v>2100</v>
      </c>
      <c r="C20" t="s">
        <v>256</v>
      </c>
      <c r="D20" t="s">
        <v>257</v>
      </c>
      <c r="E20" t="s">
        <v>893</v>
      </c>
      <c r="F20" t="s">
        <v>898</v>
      </c>
      <c r="G20" t="s">
        <v>258</v>
      </c>
      <c r="H20" t="s">
        <v>913</v>
      </c>
      <c r="I20">
        <v>2025</v>
      </c>
    </row>
    <row r="21" spans="1:9" x14ac:dyDescent="0.3">
      <c r="A21" t="s">
        <v>906</v>
      </c>
      <c r="B21">
        <v>2600</v>
      </c>
      <c r="C21" t="s">
        <v>261</v>
      </c>
      <c r="D21" t="s">
        <v>257</v>
      </c>
      <c r="E21" t="s">
        <v>897</v>
      </c>
      <c r="F21" t="s">
        <v>894</v>
      </c>
      <c r="G21" t="s">
        <v>258</v>
      </c>
      <c r="H21" t="s">
        <v>913</v>
      </c>
      <c r="I21">
        <v>2025</v>
      </c>
    </row>
    <row r="22" spans="1:9" x14ac:dyDescent="0.3">
      <c r="A22" t="s">
        <v>892</v>
      </c>
      <c r="B22">
        <v>700</v>
      </c>
      <c r="C22" t="s">
        <v>256</v>
      </c>
      <c r="D22" t="s">
        <v>268</v>
      </c>
      <c r="E22" t="s">
        <v>908</v>
      </c>
      <c r="F22" t="s">
        <v>902</v>
      </c>
      <c r="G22" t="s">
        <v>263</v>
      </c>
      <c r="H22" t="s">
        <v>914</v>
      </c>
      <c r="I22">
        <v>2025</v>
      </c>
    </row>
    <row r="23" spans="1:9" x14ac:dyDescent="0.3">
      <c r="A23" t="s">
        <v>896</v>
      </c>
      <c r="B23">
        <v>1200</v>
      </c>
      <c r="C23" t="s">
        <v>261</v>
      </c>
      <c r="D23" t="s">
        <v>257</v>
      </c>
      <c r="E23" t="s">
        <v>893</v>
      </c>
      <c r="F23" t="s">
        <v>898</v>
      </c>
      <c r="G23" t="s">
        <v>258</v>
      </c>
      <c r="H23" t="s">
        <v>914</v>
      </c>
      <c r="I23">
        <v>2025</v>
      </c>
    </row>
    <row r="24" spans="1:9" x14ac:dyDescent="0.3">
      <c r="A24" t="s">
        <v>900</v>
      </c>
      <c r="B24">
        <v>1800</v>
      </c>
      <c r="C24" t="s">
        <v>256</v>
      </c>
      <c r="D24" t="s">
        <v>257</v>
      </c>
      <c r="E24" t="s">
        <v>901</v>
      </c>
      <c r="F24" t="s">
        <v>904</v>
      </c>
      <c r="G24" t="s">
        <v>258</v>
      </c>
      <c r="H24" t="s">
        <v>915</v>
      </c>
      <c r="I24">
        <v>2025</v>
      </c>
    </row>
    <row r="25" spans="1:9" x14ac:dyDescent="0.3">
      <c r="A25" t="s">
        <v>255</v>
      </c>
      <c r="B25">
        <v>2200</v>
      </c>
      <c r="C25" t="s">
        <v>261</v>
      </c>
      <c r="D25" t="s">
        <v>268</v>
      </c>
      <c r="E25" t="s">
        <v>893</v>
      </c>
      <c r="F25" t="s">
        <v>894</v>
      </c>
      <c r="G25" t="s">
        <v>263</v>
      </c>
      <c r="H25" t="s">
        <v>915</v>
      </c>
      <c r="I25">
        <v>2025</v>
      </c>
    </row>
    <row r="26" spans="1:9" x14ac:dyDescent="0.3">
      <c r="A26" t="s">
        <v>892</v>
      </c>
      <c r="B26">
        <v>650</v>
      </c>
      <c r="C26" t="s">
        <v>261</v>
      </c>
      <c r="D26" t="s">
        <v>268</v>
      </c>
      <c r="E26" t="s">
        <v>908</v>
      </c>
      <c r="F26" t="s">
        <v>904</v>
      </c>
      <c r="G26" t="s">
        <v>263</v>
      </c>
      <c r="H26" t="s">
        <v>895</v>
      </c>
      <c r="I26">
        <v>2025</v>
      </c>
    </row>
    <row r="27" spans="1:9" x14ac:dyDescent="0.3">
      <c r="A27" t="s">
        <v>896</v>
      </c>
      <c r="B27">
        <v>1400</v>
      </c>
      <c r="C27" t="s">
        <v>256</v>
      </c>
      <c r="D27" t="s">
        <v>257</v>
      </c>
      <c r="E27" t="s">
        <v>893</v>
      </c>
      <c r="F27" t="s">
        <v>894</v>
      </c>
      <c r="G27" t="s">
        <v>258</v>
      </c>
      <c r="H27" t="s">
        <v>895</v>
      </c>
      <c r="I27">
        <v>2025</v>
      </c>
    </row>
    <row r="28" spans="1:9" x14ac:dyDescent="0.3">
      <c r="A28" t="s">
        <v>900</v>
      </c>
      <c r="B28">
        <v>1750</v>
      </c>
      <c r="C28" t="s">
        <v>261</v>
      </c>
      <c r="D28" t="s">
        <v>257</v>
      </c>
      <c r="E28" t="s">
        <v>893</v>
      </c>
      <c r="F28" t="s">
        <v>898</v>
      </c>
      <c r="G28" t="s">
        <v>258</v>
      </c>
      <c r="H28" t="s">
        <v>899</v>
      </c>
      <c r="I28">
        <v>2025</v>
      </c>
    </row>
    <row r="29" spans="1:9" x14ac:dyDescent="0.3">
      <c r="A29" t="s">
        <v>255</v>
      </c>
      <c r="B29">
        <v>2100</v>
      </c>
      <c r="C29" t="s">
        <v>256</v>
      </c>
      <c r="D29" t="s">
        <v>257</v>
      </c>
      <c r="E29" t="s">
        <v>897</v>
      </c>
      <c r="F29" t="s">
        <v>902</v>
      </c>
      <c r="G29" t="s">
        <v>258</v>
      </c>
      <c r="H29" t="s">
        <v>899</v>
      </c>
      <c r="I29">
        <v>2025</v>
      </c>
    </row>
    <row r="30" spans="1:9" x14ac:dyDescent="0.3">
      <c r="A30" t="s">
        <v>906</v>
      </c>
      <c r="B30">
        <v>2800</v>
      </c>
      <c r="C30" t="s">
        <v>256</v>
      </c>
      <c r="D30" t="s">
        <v>257</v>
      </c>
      <c r="E30" t="s">
        <v>893</v>
      </c>
      <c r="F30" t="s">
        <v>904</v>
      </c>
      <c r="G30" t="s">
        <v>258</v>
      </c>
      <c r="H30" t="s">
        <v>903</v>
      </c>
      <c r="I30">
        <v>2025</v>
      </c>
    </row>
    <row r="31" spans="1:9" x14ac:dyDescent="0.3">
      <c r="A31" t="s">
        <v>892</v>
      </c>
      <c r="B31">
        <v>900</v>
      </c>
      <c r="C31" t="s">
        <v>256</v>
      </c>
      <c r="D31" t="s">
        <v>268</v>
      </c>
      <c r="E31" t="s">
        <v>901</v>
      </c>
      <c r="F31" t="s">
        <v>894</v>
      </c>
      <c r="G31" t="s">
        <v>263</v>
      </c>
      <c r="H31" t="s">
        <v>903</v>
      </c>
      <c r="I31">
        <v>2025</v>
      </c>
    </row>
    <row r="32" spans="1:9" x14ac:dyDescent="0.3">
      <c r="A32" t="s">
        <v>896</v>
      </c>
      <c r="B32">
        <v>1250</v>
      </c>
      <c r="C32" t="s">
        <v>261</v>
      </c>
      <c r="D32" t="s">
        <v>257</v>
      </c>
      <c r="E32" t="s">
        <v>897</v>
      </c>
      <c r="F32" t="s">
        <v>902</v>
      </c>
      <c r="G32" t="s">
        <v>258</v>
      </c>
      <c r="H32" t="s">
        <v>905</v>
      </c>
      <c r="I32">
        <v>2025</v>
      </c>
    </row>
    <row r="33" spans="1:9" x14ac:dyDescent="0.3">
      <c r="A33" t="s">
        <v>900</v>
      </c>
      <c r="B33">
        <v>1600</v>
      </c>
      <c r="C33" t="s">
        <v>256</v>
      </c>
      <c r="D33" t="s">
        <v>257</v>
      </c>
      <c r="E33" t="s">
        <v>901</v>
      </c>
      <c r="F33" t="s">
        <v>898</v>
      </c>
      <c r="G33" t="s">
        <v>258</v>
      </c>
      <c r="H33" t="s">
        <v>905</v>
      </c>
      <c r="I33">
        <v>2025</v>
      </c>
    </row>
    <row r="34" spans="1:9" x14ac:dyDescent="0.3">
      <c r="A34" t="s">
        <v>255</v>
      </c>
      <c r="B34">
        <v>1950</v>
      </c>
      <c r="C34" t="s">
        <v>261</v>
      </c>
      <c r="D34" t="s">
        <v>268</v>
      </c>
      <c r="E34" t="s">
        <v>893</v>
      </c>
      <c r="F34" t="s">
        <v>904</v>
      </c>
      <c r="G34" t="s">
        <v>263</v>
      </c>
      <c r="H34" t="s">
        <v>907</v>
      </c>
      <c r="I34">
        <v>2025</v>
      </c>
    </row>
    <row r="35" spans="1:9" x14ac:dyDescent="0.3">
      <c r="A35" t="s">
        <v>906</v>
      </c>
      <c r="B35">
        <v>3000</v>
      </c>
      <c r="C35" t="s">
        <v>256</v>
      </c>
      <c r="D35" t="s">
        <v>257</v>
      </c>
      <c r="E35" t="s">
        <v>897</v>
      </c>
      <c r="F35" t="s">
        <v>894</v>
      </c>
      <c r="G35" t="s">
        <v>258</v>
      </c>
      <c r="H35" t="s">
        <v>909</v>
      </c>
      <c r="I35">
        <v>2025</v>
      </c>
    </row>
    <row r="36" spans="1:9" x14ac:dyDescent="0.3">
      <c r="A36" t="s">
        <v>892</v>
      </c>
      <c r="B36">
        <v>720</v>
      </c>
      <c r="C36" t="s">
        <v>261</v>
      </c>
      <c r="D36" t="s">
        <v>268</v>
      </c>
      <c r="E36" t="s">
        <v>908</v>
      </c>
      <c r="F36" t="s">
        <v>902</v>
      </c>
      <c r="G36" t="s">
        <v>263</v>
      </c>
      <c r="H36" t="s">
        <v>909</v>
      </c>
      <c r="I36">
        <v>2025</v>
      </c>
    </row>
    <row r="37" spans="1:9" x14ac:dyDescent="0.3">
      <c r="A37" t="s">
        <v>896</v>
      </c>
      <c r="B37">
        <v>1380</v>
      </c>
      <c r="C37" t="s">
        <v>256</v>
      </c>
      <c r="D37" t="s">
        <v>257</v>
      </c>
      <c r="E37" t="s">
        <v>893</v>
      </c>
      <c r="F37" t="s">
        <v>898</v>
      </c>
      <c r="G37" t="s">
        <v>258</v>
      </c>
      <c r="H37" t="s">
        <v>910</v>
      </c>
      <c r="I37">
        <v>2025</v>
      </c>
    </row>
    <row r="38" spans="1:9" x14ac:dyDescent="0.3">
      <c r="A38" t="s">
        <v>900</v>
      </c>
      <c r="B38">
        <v>1850</v>
      </c>
      <c r="C38" t="s">
        <v>261</v>
      </c>
      <c r="D38" t="s">
        <v>257</v>
      </c>
      <c r="E38" t="s">
        <v>893</v>
      </c>
      <c r="F38" t="s">
        <v>894</v>
      </c>
      <c r="G38" t="s">
        <v>258</v>
      </c>
      <c r="H38" t="s">
        <v>910</v>
      </c>
      <c r="I38">
        <v>2025</v>
      </c>
    </row>
    <row r="39" spans="1:9" x14ac:dyDescent="0.3">
      <c r="A39" t="s">
        <v>255</v>
      </c>
      <c r="B39">
        <v>2250</v>
      </c>
      <c r="C39" t="s">
        <v>256</v>
      </c>
      <c r="D39" t="s">
        <v>257</v>
      </c>
      <c r="E39" t="s">
        <v>901</v>
      </c>
      <c r="F39" t="s">
        <v>904</v>
      </c>
      <c r="G39" t="s">
        <v>258</v>
      </c>
      <c r="H39" t="s">
        <v>911</v>
      </c>
      <c r="I39">
        <v>2025</v>
      </c>
    </row>
    <row r="40" spans="1:9" x14ac:dyDescent="0.3">
      <c r="A40" t="s">
        <v>906</v>
      </c>
      <c r="B40">
        <v>3200</v>
      </c>
      <c r="C40" t="s">
        <v>261</v>
      </c>
      <c r="D40" t="s">
        <v>257</v>
      </c>
      <c r="E40" t="s">
        <v>897</v>
      </c>
      <c r="F40" t="s">
        <v>898</v>
      </c>
      <c r="G40" t="s">
        <v>258</v>
      </c>
      <c r="H40" t="s">
        <v>911</v>
      </c>
      <c r="I40">
        <v>2025</v>
      </c>
    </row>
    <row r="41" spans="1:9" x14ac:dyDescent="0.3">
      <c r="A41" t="s">
        <v>892</v>
      </c>
      <c r="B41">
        <v>680</v>
      </c>
      <c r="C41" t="s">
        <v>256</v>
      </c>
      <c r="D41" t="s">
        <v>268</v>
      </c>
      <c r="E41" t="s">
        <v>908</v>
      </c>
      <c r="F41" t="s">
        <v>894</v>
      </c>
      <c r="G41" t="s">
        <v>263</v>
      </c>
      <c r="H41" t="s">
        <v>912</v>
      </c>
      <c r="I41">
        <v>2025</v>
      </c>
    </row>
    <row r="42" spans="1:9" x14ac:dyDescent="0.3">
      <c r="A42" t="s">
        <v>896</v>
      </c>
      <c r="B42">
        <v>1500</v>
      </c>
      <c r="C42" t="s">
        <v>261</v>
      </c>
      <c r="D42" t="s">
        <v>257</v>
      </c>
      <c r="E42" t="s">
        <v>893</v>
      </c>
      <c r="F42" t="s">
        <v>902</v>
      </c>
      <c r="G42" t="s">
        <v>258</v>
      </c>
      <c r="H42" t="s">
        <v>912</v>
      </c>
      <c r="I42">
        <v>2025</v>
      </c>
    </row>
    <row r="43" spans="1:9" x14ac:dyDescent="0.3">
      <c r="A43" t="s">
        <v>900</v>
      </c>
      <c r="B43">
        <v>2000</v>
      </c>
      <c r="C43" t="s">
        <v>256</v>
      </c>
      <c r="D43" t="s">
        <v>257</v>
      </c>
      <c r="E43" t="s">
        <v>901</v>
      </c>
      <c r="F43" t="s">
        <v>898</v>
      </c>
      <c r="G43" t="s">
        <v>258</v>
      </c>
      <c r="H43" t="s">
        <v>913</v>
      </c>
      <c r="I43">
        <v>2025</v>
      </c>
    </row>
    <row r="44" spans="1:9" x14ac:dyDescent="0.3">
      <c r="A44" t="s">
        <v>255</v>
      </c>
      <c r="B44">
        <v>2400</v>
      </c>
      <c r="C44" t="s">
        <v>261</v>
      </c>
      <c r="D44" t="s">
        <v>257</v>
      </c>
      <c r="E44" t="s">
        <v>893</v>
      </c>
      <c r="F44" t="s">
        <v>894</v>
      </c>
      <c r="G44" t="s">
        <v>258</v>
      </c>
      <c r="H44" t="s">
        <v>913</v>
      </c>
      <c r="I44">
        <v>2025</v>
      </c>
    </row>
    <row r="45" spans="1:9" x14ac:dyDescent="0.3">
      <c r="A45" t="s">
        <v>906</v>
      </c>
      <c r="B45">
        <v>3500</v>
      </c>
      <c r="C45" t="s">
        <v>256</v>
      </c>
      <c r="D45" t="s">
        <v>257</v>
      </c>
      <c r="E45" t="s">
        <v>897</v>
      </c>
      <c r="F45" t="s">
        <v>904</v>
      </c>
      <c r="G45" t="s">
        <v>258</v>
      </c>
      <c r="H45" t="s">
        <v>914</v>
      </c>
      <c r="I45">
        <v>2025</v>
      </c>
    </row>
    <row r="46" spans="1:9" x14ac:dyDescent="0.3">
      <c r="A46" t="s">
        <v>892</v>
      </c>
      <c r="B46">
        <v>600</v>
      </c>
      <c r="C46" t="s">
        <v>261</v>
      </c>
      <c r="D46" t="s">
        <v>268</v>
      </c>
      <c r="E46" t="s">
        <v>916</v>
      </c>
      <c r="F46" t="s">
        <v>902</v>
      </c>
      <c r="G46" t="s">
        <v>263</v>
      </c>
      <c r="H46" t="s">
        <v>914</v>
      </c>
      <c r="I46">
        <v>2025</v>
      </c>
    </row>
    <row r="47" spans="1:9" x14ac:dyDescent="0.3">
      <c r="A47" t="s">
        <v>896</v>
      </c>
      <c r="B47">
        <v>1300</v>
      </c>
      <c r="C47" t="s">
        <v>256</v>
      </c>
      <c r="D47" t="s">
        <v>257</v>
      </c>
      <c r="E47" t="s">
        <v>893</v>
      </c>
      <c r="F47" t="s">
        <v>894</v>
      </c>
      <c r="G47" t="s">
        <v>258</v>
      </c>
      <c r="H47" t="s">
        <v>915</v>
      </c>
      <c r="I47">
        <v>2025</v>
      </c>
    </row>
    <row r="48" spans="1:9" x14ac:dyDescent="0.3">
      <c r="A48" t="s">
        <v>900</v>
      </c>
      <c r="B48">
        <v>2100</v>
      </c>
      <c r="C48" t="s">
        <v>261</v>
      </c>
      <c r="D48" t="s">
        <v>257</v>
      </c>
      <c r="E48" t="s">
        <v>901</v>
      </c>
      <c r="F48" t="s">
        <v>904</v>
      </c>
      <c r="G48" t="s">
        <v>258</v>
      </c>
      <c r="H48" t="s">
        <v>915</v>
      </c>
      <c r="I48">
        <v>2025</v>
      </c>
    </row>
    <row r="49" spans="1:9" x14ac:dyDescent="0.3">
      <c r="A49" t="s">
        <v>255</v>
      </c>
      <c r="B49">
        <v>2600</v>
      </c>
      <c r="C49" t="s">
        <v>256</v>
      </c>
      <c r="D49" t="s">
        <v>257</v>
      </c>
      <c r="E49" t="s">
        <v>893</v>
      </c>
      <c r="F49" t="s">
        <v>898</v>
      </c>
      <c r="G49" t="s">
        <v>258</v>
      </c>
      <c r="H49" t="s">
        <v>915</v>
      </c>
      <c r="I49">
        <v>2025</v>
      </c>
    </row>
    <row r="50" spans="1:9" ht="23.4" x14ac:dyDescent="0.45">
      <c r="A50" s="14"/>
      <c r="B50" s="14"/>
      <c r="C50" s="14"/>
      <c r="D50" s="14"/>
      <c r="E50" s="14"/>
      <c r="F50" s="14"/>
      <c r="G50" s="14"/>
    </row>
    <row r="51" spans="1:9" ht="23.4" x14ac:dyDescent="0.45">
      <c r="A51" s="14"/>
      <c r="B51" s="14"/>
      <c r="C51" s="14"/>
      <c r="D51" s="14"/>
      <c r="E51" s="14"/>
      <c r="F51" s="14"/>
      <c r="G51" s="14"/>
    </row>
    <row r="52" spans="1:9" ht="23.4" x14ac:dyDescent="0.45">
      <c r="A52" s="14"/>
      <c r="B52" s="14"/>
      <c r="C52" s="14"/>
      <c r="D52" s="14"/>
      <c r="E52" s="14"/>
      <c r="F52" s="14"/>
      <c r="G52" s="14"/>
    </row>
    <row r="53" spans="1:9" ht="23.4" x14ac:dyDescent="0.45">
      <c r="A53" s="14"/>
      <c r="B53" s="14"/>
      <c r="C53" s="14"/>
      <c r="D53" s="14"/>
      <c r="E53" s="14"/>
      <c r="F53" s="14"/>
      <c r="G53" s="14"/>
    </row>
    <row r="54" spans="1:9" ht="23.4" x14ac:dyDescent="0.45">
      <c r="A54" s="14"/>
      <c r="B54" s="14"/>
      <c r="C54" s="14"/>
      <c r="D54" s="14"/>
      <c r="E54" s="14"/>
      <c r="F54" s="14"/>
      <c r="G54" s="14"/>
    </row>
    <row r="55" spans="1:9" ht="23.4" x14ac:dyDescent="0.45">
      <c r="A55" s="14"/>
      <c r="B55" s="14"/>
      <c r="C55" s="14"/>
      <c r="D55" s="14"/>
      <c r="E55" s="14"/>
      <c r="F55" s="14"/>
      <c r="G55" s="14"/>
    </row>
    <row r="56" spans="1:9" ht="23.4" x14ac:dyDescent="0.45">
      <c r="A56" s="14"/>
      <c r="B56" s="14"/>
      <c r="C56" s="14"/>
      <c r="D56" s="14"/>
      <c r="E56" s="14"/>
      <c r="F56" s="14"/>
      <c r="G56" s="14"/>
    </row>
    <row r="57" spans="1:9" ht="23.4" x14ac:dyDescent="0.45">
      <c r="A57" s="14"/>
      <c r="B57" s="14"/>
      <c r="C57" s="14"/>
      <c r="D57" s="14"/>
      <c r="E57" s="14"/>
      <c r="F57" s="14"/>
      <c r="G57" s="14"/>
    </row>
    <row r="58" spans="1:9" ht="23.4" x14ac:dyDescent="0.45">
      <c r="A58" s="14"/>
      <c r="B58" s="14"/>
      <c r="C58" s="14"/>
      <c r="D58" s="14"/>
      <c r="E58" s="14"/>
      <c r="F58" s="14"/>
      <c r="G58" s="14"/>
    </row>
    <row r="59" spans="1:9" ht="23.4" x14ac:dyDescent="0.45">
      <c r="A59" s="14"/>
      <c r="B59" s="14"/>
      <c r="C59" s="14"/>
      <c r="D59" s="14"/>
      <c r="E59" s="14"/>
      <c r="F59" s="14"/>
      <c r="G59" s="14"/>
    </row>
    <row r="60" spans="1:9" ht="23.4" x14ac:dyDescent="0.45">
      <c r="A60" s="14"/>
      <c r="B60" s="14"/>
      <c r="C60" s="14"/>
      <c r="D60" s="14"/>
      <c r="E60" s="14"/>
      <c r="F60" s="14"/>
      <c r="G60" s="14"/>
    </row>
    <row r="61" spans="1:9" ht="23.4" x14ac:dyDescent="0.45">
      <c r="A61" s="14"/>
      <c r="B61" s="14"/>
      <c r="C61" s="14"/>
      <c r="D61" s="14"/>
      <c r="E61" s="14"/>
      <c r="F61" s="14"/>
      <c r="G61" s="14"/>
    </row>
    <row r="62" spans="1:9" ht="23.4" x14ac:dyDescent="0.45">
      <c r="A62" s="14"/>
      <c r="B62" s="14"/>
      <c r="C62" s="14"/>
      <c r="D62" s="14"/>
      <c r="E62" s="14"/>
      <c r="F62" s="14"/>
      <c r="G62" s="14"/>
    </row>
    <row r="63" spans="1:9" ht="23.4" x14ac:dyDescent="0.45">
      <c r="A63" s="14"/>
      <c r="B63" s="14"/>
      <c r="C63" s="14"/>
      <c r="D63" s="14"/>
      <c r="E63" s="14"/>
      <c r="F63" s="14"/>
      <c r="G63" s="14"/>
    </row>
    <row r="64" spans="1:9" ht="23.4" x14ac:dyDescent="0.45">
      <c r="A64" s="14"/>
      <c r="B64" s="14"/>
      <c r="C64" s="14"/>
      <c r="D64" s="14"/>
      <c r="E64" s="14"/>
      <c r="F64" s="14"/>
      <c r="G64" s="14"/>
    </row>
    <row r="65" spans="1:7" ht="23.4" x14ac:dyDescent="0.45">
      <c r="A65" s="14"/>
      <c r="B65" s="14"/>
      <c r="C65" s="14"/>
      <c r="D65" s="14"/>
      <c r="E65" s="14"/>
      <c r="F65" s="14"/>
      <c r="G65" s="14"/>
    </row>
    <row r="66" spans="1:7" ht="23.4" x14ac:dyDescent="0.45">
      <c r="A66" s="14"/>
      <c r="B66" s="14"/>
      <c r="C66" s="14"/>
      <c r="D66" s="14"/>
      <c r="E66" s="14"/>
      <c r="F66" s="14"/>
      <c r="G66" s="14"/>
    </row>
    <row r="67" spans="1:7" ht="23.4" x14ac:dyDescent="0.45">
      <c r="A67" s="14"/>
      <c r="B67" s="14"/>
      <c r="C67" s="14"/>
      <c r="D67" s="14"/>
      <c r="E67" s="14"/>
      <c r="F67" s="14"/>
      <c r="G67" s="14"/>
    </row>
    <row r="68" spans="1:7" ht="23.4" x14ac:dyDescent="0.45">
      <c r="A68" s="14"/>
      <c r="B68" s="14"/>
      <c r="C68" s="14"/>
      <c r="D68" s="14"/>
      <c r="E68" s="14"/>
      <c r="F68" s="14"/>
      <c r="G68" s="14"/>
    </row>
    <row r="69" spans="1:7" ht="23.4" x14ac:dyDescent="0.45">
      <c r="A69" s="14"/>
      <c r="B69" s="14"/>
      <c r="C69" s="14"/>
      <c r="D69" s="14"/>
      <c r="E69" s="14"/>
      <c r="F69" s="14"/>
      <c r="G69" s="14"/>
    </row>
    <row r="70" spans="1:7" ht="23.4" x14ac:dyDescent="0.45">
      <c r="A70" s="14"/>
      <c r="B70" s="14"/>
      <c r="C70" s="14"/>
      <c r="D70" s="14"/>
      <c r="E70" s="14"/>
      <c r="F70" s="14"/>
      <c r="G70" s="14"/>
    </row>
    <row r="71" spans="1:7" ht="23.4" x14ac:dyDescent="0.45">
      <c r="A71" s="14"/>
      <c r="B71" s="14"/>
      <c r="C71" s="14"/>
      <c r="D71" s="14"/>
      <c r="E71" s="14"/>
      <c r="F71" s="14"/>
      <c r="G71" s="14"/>
    </row>
    <row r="72" spans="1:7" ht="23.4" x14ac:dyDescent="0.45">
      <c r="A72" s="14"/>
      <c r="B72" s="14"/>
      <c r="C72" s="14"/>
      <c r="D72" s="14"/>
      <c r="E72" s="14"/>
      <c r="F72" s="14"/>
      <c r="G72" s="14"/>
    </row>
    <row r="73" spans="1:7" ht="23.4" x14ac:dyDescent="0.45">
      <c r="A73" s="14"/>
      <c r="B73" s="14"/>
      <c r="C73" s="14"/>
      <c r="D73" s="14"/>
      <c r="E73" s="14"/>
      <c r="F73" s="14"/>
      <c r="G73" s="14"/>
    </row>
    <row r="74" spans="1:7" ht="23.4" x14ac:dyDescent="0.45">
      <c r="A74" s="14"/>
      <c r="B74" s="14"/>
      <c r="C74" s="14"/>
      <c r="D74" s="14"/>
      <c r="E74" s="14"/>
      <c r="F74" s="14"/>
      <c r="G74" s="14"/>
    </row>
    <row r="75" spans="1:7" ht="23.4" x14ac:dyDescent="0.45">
      <c r="A75" s="14"/>
      <c r="B75" s="14"/>
      <c r="C75" s="14"/>
      <c r="D75" s="14"/>
      <c r="E75" s="14"/>
      <c r="F75" s="14"/>
      <c r="G75" s="14"/>
    </row>
    <row r="76" spans="1:7" ht="23.4" x14ac:dyDescent="0.45">
      <c r="A76" s="14"/>
      <c r="B76" s="14"/>
      <c r="C76" s="14"/>
      <c r="D76" s="14"/>
      <c r="E76" s="14"/>
      <c r="F76" s="14"/>
      <c r="G76" s="14"/>
    </row>
    <row r="77" spans="1:7" ht="23.4" x14ac:dyDescent="0.45">
      <c r="A77" s="14"/>
      <c r="B77" s="14"/>
      <c r="C77" s="14"/>
      <c r="D77" s="14"/>
      <c r="E77" s="14"/>
      <c r="F77" s="14"/>
      <c r="G77" s="14"/>
    </row>
    <row r="78" spans="1:7" ht="23.4" x14ac:dyDescent="0.45">
      <c r="A78" s="14"/>
      <c r="B78" s="14"/>
      <c r="C78" s="14"/>
      <c r="D78" s="14"/>
      <c r="E78" s="14"/>
      <c r="F78" s="14"/>
      <c r="G78" s="14"/>
    </row>
    <row r="79" spans="1:7" ht="23.4" x14ac:dyDescent="0.45">
      <c r="A79" s="14"/>
      <c r="B79" s="14"/>
      <c r="C79" s="14"/>
      <c r="D79" s="14"/>
      <c r="E79" s="14"/>
      <c r="F79" s="14"/>
      <c r="G79" s="14"/>
    </row>
    <row r="80" spans="1:7" ht="23.4" x14ac:dyDescent="0.45">
      <c r="A80" s="14"/>
      <c r="B80" s="14"/>
      <c r="C80" s="14"/>
      <c r="D80" s="14"/>
      <c r="E80" s="14"/>
      <c r="F80" s="14"/>
      <c r="G80" s="14"/>
    </row>
    <row r="81" spans="1:7" ht="23.4" x14ac:dyDescent="0.45">
      <c r="A81" s="14"/>
      <c r="B81" s="14"/>
      <c r="C81" s="14"/>
      <c r="D81" s="14"/>
      <c r="E81" s="14"/>
      <c r="F81" s="14"/>
      <c r="G81" s="14"/>
    </row>
    <row r="82" spans="1:7" ht="23.4" x14ac:dyDescent="0.45">
      <c r="A82" s="14"/>
      <c r="B82" s="14"/>
      <c r="C82" s="14"/>
      <c r="D82" s="14"/>
      <c r="E82" s="14"/>
      <c r="F82" s="14"/>
      <c r="G82" s="14"/>
    </row>
    <row r="83" spans="1:7" ht="23.4" x14ac:dyDescent="0.45">
      <c r="A83" s="14"/>
      <c r="B83" s="14"/>
      <c r="C83" s="14"/>
      <c r="D83" s="14"/>
      <c r="E83" s="14"/>
      <c r="F83" s="14"/>
      <c r="G83" s="14"/>
    </row>
    <row r="84" spans="1:7" ht="23.4" x14ac:dyDescent="0.45">
      <c r="A84" s="14"/>
      <c r="B84" s="14"/>
      <c r="C84" s="14"/>
      <c r="D84" s="14"/>
      <c r="E84" s="14"/>
      <c r="F84" s="14"/>
      <c r="G84" s="14"/>
    </row>
    <row r="85" spans="1:7" ht="23.4" x14ac:dyDescent="0.45">
      <c r="A85" s="14"/>
      <c r="B85" s="14"/>
      <c r="C85" s="14"/>
      <c r="D85" s="14"/>
      <c r="E85" s="14"/>
      <c r="F85" s="14"/>
      <c r="G85" s="14"/>
    </row>
    <row r="86" spans="1:7" ht="23.4" x14ac:dyDescent="0.45">
      <c r="A86" s="14"/>
      <c r="B86" s="14"/>
      <c r="C86" s="14"/>
      <c r="D86" s="14"/>
      <c r="E86" s="14"/>
      <c r="F86" s="14"/>
      <c r="G86" s="14"/>
    </row>
    <row r="87" spans="1:7" ht="23.4" x14ac:dyDescent="0.45">
      <c r="A87" s="14"/>
      <c r="B87" s="14"/>
      <c r="C87" s="14"/>
      <c r="D87" s="14"/>
      <c r="E87" s="14"/>
      <c r="F87" s="14"/>
      <c r="G87" s="14"/>
    </row>
    <row r="88" spans="1:7" ht="23.4" x14ac:dyDescent="0.45">
      <c r="A88" s="14"/>
      <c r="B88" s="14"/>
      <c r="C88" s="14"/>
      <c r="D88" s="14"/>
      <c r="E88" s="14"/>
      <c r="F88" s="14"/>
      <c r="G88" s="14"/>
    </row>
    <row r="89" spans="1:7" ht="23.4" x14ac:dyDescent="0.45">
      <c r="A89" s="14"/>
      <c r="B89" s="14"/>
      <c r="C89" s="14"/>
      <c r="D89" s="14"/>
      <c r="E89" s="14"/>
      <c r="F89" s="14"/>
      <c r="G89" s="14"/>
    </row>
    <row r="90" spans="1:7" ht="23.4" x14ac:dyDescent="0.45">
      <c r="A90" s="14"/>
      <c r="B90" s="14"/>
      <c r="C90" s="14"/>
      <c r="D90" s="14"/>
      <c r="E90" s="14"/>
      <c r="F90" s="14"/>
      <c r="G90" s="14"/>
    </row>
    <row r="91" spans="1:7" ht="23.4" x14ac:dyDescent="0.45">
      <c r="A91" s="14"/>
      <c r="B91" s="14"/>
      <c r="C91" s="14"/>
      <c r="D91" s="14"/>
      <c r="E91" s="14"/>
      <c r="F91" s="14"/>
      <c r="G91" s="14"/>
    </row>
    <row r="92" spans="1:7" ht="23.4" x14ac:dyDescent="0.45">
      <c r="A92" s="14"/>
      <c r="B92" s="14"/>
      <c r="C92" s="14"/>
      <c r="D92" s="14"/>
      <c r="E92" s="14"/>
      <c r="F92" s="14"/>
      <c r="G92" s="14"/>
    </row>
    <row r="93" spans="1:7" ht="23.4" x14ac:dyDescent="0.45">
      <c r="A93" s="14"/>
      <c r="B93" s="14"/>
      <c r="C93" s="14"/>
      <c r="D93" s="14"/>
      <c r="E93" s="14"/>
      <c r="F93" s="14"/>
      <c r="G93" s="14"/>
    </row>
    <row r="94" spans="1:7" ht="23.4" x14ac:dyDescent="0.45">
      <c r="A94" s="14"/>
      <c r="B94" s="14"/>
      <c r="C94" s="14"/>
      <c r="D94" s="14"/>
      <c r="E94" s="14"/>
      <c r="F94" s="14"/>
      <c r="G94" s="14"/>
    </row>
    <row r="95" spans="1:7" ht="23.4" x14ac:dyDescent="0.45">
      <c r="A95" s="14"/>
      <c r="B95" s="14"/>
      <c r="C95" s="14"/>
      <c r="D95" s="14"/>
      <c r="E95" s="14"/>
      <c r="F95" s="14"/>
      <c r="G95" s="14"/>
    </row>
    <row r="96" spans="1:7" ht="23.4" x14ac:dyDescent="0.45">
      <c r="A96" s="14"/>
      <c r="B96" s="14"/>
      <c r="C96" s="14"/>
      <c r="D96" s="14"/>
      <c r="E96" s="14"/>
      <c r="F96" s="14"/>
      <c r="G96" s="14"/>
    </row>
    <row r="97" spans="1:7" ht="23.4" x14ac:dyDescent="0.45">
      <c r="A97" s="14"/>
      <c r="B97" s="14"/>
      <c r="C97" s="14"/>
      <c r="D97" s="14"/>
      <c r="E97" s="14"/>
      <c r="F97" s="14"/>
      <c r="G97" s="14"/>
    </row>
    <row r="98" spans="1:7" ht="23.4" x14ac:dyDescent="0.45">
      <c r="A98" s="14"/>
      <c r="B98" s="14"/>
      <c r="C98" s="14"/>
      <c r="D98" s="14"/>
      <c r="E98" s="14"/>
      <c r="F98" s="14"/>
      <c r="G98" s="14"/>
    </row>
    <row r="99" spans="1:7" ht="23.4" x14ac:dyDescent="0.45">
      <c r="A99" s="14"/>
      <c r="B99" s="14"/>
      <c r="C99" s="14"/>
      <c r="D99" s="14"/>
      <c r="E99" s="14"/>
      <c r="F99" s="14"/>
      <c r="G99" s="14"/>
    </row>
    <row r="100" spans="1:7" ht="23.4" x14ac:dyDescent="0.45">
      <c r="A100" s="14"/>
      <c r="B100" s="14"/>
      <c r="C100" s="14"/>
      <c r="D100" s="14"/>
      <c r="E100" s="14"/>
      <c r="F100" s="14"/>
      <c r="G100" s="14"/>
    </row>
    <row r="101" spans="1:7" ht="23.4" x14ac:dyDescent="0.45">
      <c r="A101" s="14"/>
      <c r="B101" s="14"/>
      <c r="C101" s="14"/>
      <c r="D101" s="14"/>
      <c r="E101" s="14"/>
      <c r="F101" s="14"/>
      <c r="G101" s="14"/>
    </row>
    <row r="102" spans="1:7" ht="23.4" x14ac:dyDescent="0.45">
      <c r="A102" s="14"/>
      <c r="B102" s="14"/>
      <c r="C102" s="14"/>
      <c r="D102" s="14"/>
      <c r="E102" s="14"/>
      <c r="F102" s="14"/>
      <c r="G102" s="14"/>
    </row>
    <row r="103" spans="1:7" ht="23.4" x14ac:dyDescent="0.45">
      <c r="A103" s="14"/>
      <c r="B103" s="14"/>
      <c r="C103" s="14"/>
      <c r="D103" s="14"/>
      <c r="E103" s="14"/>
      <c r="F103" s="14"/>
      <c r="G103" s="14"/>
    </row>
    <row r="104" spans="1:7" ht="23.4" x14ac:dyDescent="0.45">
      <c r="A104" s="14"/>
      <c r="B104" s="14"/>
      <c r="C104" s="14"/>
      <c r="D104" s="14"/>
      <c r="E104" s="14"/>
      <c r="F104" s="14"/>
      <c r="G104" s="14"/>
    </row>
    <row r="105" spans="1:7" ht="23.4" x14ac:dyDescent="0.45">
      <c r="A105" s="14"/>
      <c r="B105" s="14"/>
      <c r="C105" s="14"/>
      <c r="D105" s="14"/>
      <c r="E105" s="14"/>
      <c r="F105" s="14"/>
      <c r="G105" s="14"/>
    </row>
    <row r="106" spans="1:7" ht="23.4" x14ac:dyDescent="0.45">
      <c r="A106" s="14"/>
      <c r="B106" s="14"/>
      <c r="C106" s="14"/>
      <c r="D106" s="14"/>
      <c r="E106" s="14"/>
      <c r="F106" s="14"/>
      <c r="G106" s="14"/>
    </row>
    <row r="107" spans="1:7" ht="23.4" x14ac:dyDescent="0.45">
      <c r="A107" s="14"/>
      <c r="B107" s="14"/>
      <c r="C107" s="14"/>
      <c r="D107" s="14"/>
      <c r="E107" s="14"/>
      <c r="F107" s="14"/>
      <c r="G107" s="14"/>
    </row>
    <row r="108" spans="1:7" ht="23.4" x14ac:dyDescent="0.45">
      <c r="A108" s="14"/>
      <c r="B108" s="14"/>
      <c r="C108" s="14"/>
      <c r="D108" s="14"/>
      <c r="E108" s="14"/>
      <c r="F108" s="14"/>
      <c r="G108" s="14"/>
    </row>
    <row r="109" spans="1:7" ht="23.4" x14ac:dyDescent="0.45">
      <c r="A109" s="14"/>
      <c r="B109" s="14"/>
      <c r="C109" s="14"/>
      <c r="D109" s="14"/>
      <c r="E109" s="14"/>
      <c r="F109" s="14"/>
      <c r="G109" s="14"/>
    </row>
    <row r="110" spans="1:7" ht="23.4" x14ac:dyDescent="0.45">
      <c r="A110" s="14"/>
      <c r="B110" s="14"/>
      <c r="C110" s="14"/>
      <c r="D110" s="14"/>
      <c r="E110" s="14"/>
      <c r="F110" s="14"/>
      <c r="G110" s="14"/>
    </row>
    <row r="111" spans="1:7" ht="23.4" x14ac:dyDescent="0.45">
      <c r="A111" s="14"/>
      <c r="B111" s="14"/>
      <c r="C111" s="14"/>
      <c r="D111" s="14"/>
      <c r="E111" s="14"/>
      <c r="F111" s="14"/>
      <c r="G111" s="14"/>
    </row>
    <row r="112" spans="1:7" ht="23.4" x14ac:dyDescent="0.45">
      <c r="A112" s="14"/>
      <c r="B112" s="14"/>
      <c r="C112" s="14"/>
      <c r="D112" s="14"/>
      <c r="E112" s="14"/>
      <c r="F112" s="14"/>
      <c r="G112" s="14"/>
    </row>
    <row r="113" spans="1:7" ht="23.4" x14ac:dyDescent="0.45">
      <c r="A113" s="14"/>
      <c r="B113" s="14"/>
      <c r="C113" s="14"/>
      <c r="D113" s="14"/>
      <c r="E113" s="14"/>
      <c r="F113" s="14"/>
      <c r="G113" s="14"/>
    </row>
    <row r="114" spans="1:7" ht="23.4" x14ac:dyDescent="0.45">
      <c r="A114" s="14"/>
      <c r="B114" s="14"/>
      <c r="C114" s="14"/>
      <c r="D114" s="14"/>
      <c r="E114" s="14"/>
      <c r="F114" s="14"/>
      <c r="G114" s="14"/>
    </row>
    <row r="115" spans="1:7" ht="23.4" x14ac:dyDescent="0.45">
      <c r="A115" s="14"/>
      <c r="B115" s="14"/>
      <c r="C115" s="14"/>
      <c r="D115" s="14"/>
      <c r="E115" s="14"/>
      <c r="F115" s="14"/>
      <c r="G115" s="14"/>
    </row>
    <row r="116" spans="1:7" ht="23.4" x14ac:dyDescent="0.45">
      <c r="A116" s="14"/>
      <c r="B116" s="14"/>
      <c r="C116" s="14"/>
      <c r="D116" s="14"/>
      <c r="E116" s="14"/>
      <c r="F116" s="14"/>
      <c r="G116" s="14"/>
    </row>
    <row r="117" spans="1:7" ht="23.4" x14ac:dyDescent="0.45">
      <c r="A117" s="14"/>
      <c r="B117" s="14"/>
      <c r="C117" s="14"/>
      <c r="D117" s="14"/>
      <c r="E117" s="14"/>
      <c r="F117" s="14"/>
      <c r="G117" s="14"/>
    </row>
    <row r="118" spans="1:7" ht="23.4" x14ac:dyDescent="0.45">
      <c r="A118" s="14"/>
      <c r="B118" s="14"/>
      <c r="C118" s="14"/>
      <c r="D118" s="14"/>
      <c r="E118" s="14"/>
      <c r="F118" s="14"/>
      <c r="G118" s="14"/>
    </row>
    <row r="119" spans="1:7" ht="23.4" x14ac:dyDescent="0.45">
      <c r="A119" s="14"/>
      <c r="B119" s="14"/>
      <c r="C119" s="14"/>
      <c r="D119" s="14"/>
      <c r="E119" s="14"/>
      <c r="F119" s="14"/>
      <c r="G119" s="14"/>
    </row>
    <row r="120" spans="1:7" ht="23.4" x14ac:dyDescent="0.45">
      <c r="A120" s="14"/>
      <c r="B120" s="14"/>
      <c r="C120" s="14"/>
      <c r="D120" s="14"/>
      <c r="E120" s="14"/>
      <c r="F120" s="14"/>
      <c r="G120" s="14"/>
    </row>
    <row r="121" spans="1:7" ht="23.4" x14ac:dyDescent="0.45">
      <c r="A121" s="14"/>
      <c r="B121" s="14"/>
      <c r="C121" s="14"/>
      <c r="D121" s="14"/>
      <c r="E121" s="14"/>
      <c r="F121" s="14"/>
      <c r="G121" s="14"/>
    </row>
    <row r="122" spans="1:7" ht="23.4" x14ac:dyDescent="0.45">
      <c r="A122" s="14"/>
      <c r="B122" s="14"/>
      <c r="C122" s="14"/>
      <c r="D122" s="14"/>
      <c r="E122" s="14"/>
      <c r="F122" s="14"/>
      <c r="G122" s="14"/>
    </row>
    <row r="123" spans="1:7" ht="23.4" x14ac:dyDescent="0.45">
      <c r="A123" s="14"/>
      <c r="B123" s="14"/>
      <c r="C123" s="14"/>
      <c r="D123" s="14"/>
      <c r="E123" s="14"/>
      <c r="F123" s="14"/>
      <c r="G123" s="14"/>
    </row>
    <row r="124" spans="1:7" ht="23.4" x14ac:dyDescent="0.45">
      <c r="A124" s="14"/>
      <c r="B124" s="14"/>
      <c r="C124" s="14"/>
      <c r="D124" s="14"/>
      <c r="E124" s="14"/>
      <c r="F124" s="14"/>
      <c r="G124" s="14"/>
    </row>
    <row r="125" spans="1:7" ht="23.4" x14ac:dyDescent="0.45">
      <c r="A125" s="14"/>
      <c r="B125" s="14"/>
      <c r="C125" s="14"/>
      <c r="D125" s="14"/>
      <c r="E125" s="14"/>
      <c r="F125" s="14"/>
      <c r="G125" s="14"/>
    </row>
    <row r="126" spans="1:7" ht="23.4" x14ac:dyDescent="0.45">
      <c r="A126" s="14"/>
      <c r="B126" s="14"/>
      <c r="C126" s="14"/>
      <c r="D126" s="14"/>
      <c r="E126" s="14"/>
      <c r="F126" s="14"/>
      <c r="G126" s="14"/>
    </row>
    <row r="127" spans="1:7" ht="23.4" x14ac:dyDescent="0.45">
      <c r="A127" s="14"/>
      <c r="B127" s="14"/>
      <c r="C127" s="14"/>
      <c r="D127" s="14"/>
      <c r="E127" s="14"/>
      <c r="F127" s="14"/>
      <c r="G127" s="14"/>
    </row>
    <row r="128" spans="1:7" ht="23.4" x14ac:dyDescent="0.45">
      <c r="A128" s="14"/>
      <c r="B128" s="14"/>
      <c r="C128" s="14"/>
      <c r="D128" s="14"/>
      <c r="E128" s="14"/>
      <c r="F128" s="14"/>
      <c r="G128" s="14"/>
    </row>
    <row r="129" spans="1:7" ht="23.4" x14ac:dyDescent="0.45">
      <c r="A129" s="14"/>
      <c r="B129" s="14"/>
      <c r="C129" s="14"/>
      <c r="D129" s="14"/>
      <c r="E129" s="14"/>
      <c r="F129" s="14"/>
      <c r="G129" s="14"/>
    </row>
    <row r="130" spans="1:7" ht="23.4" x14ac:dyDescent="0.45">
      <c r="A130" s="14"/>
      <c r="B130" s="14"/>
      <c r="C130" s="14"/>
      <c r="D130" s="14"/>
      <c r="E130" s="14"/>
      <c r="F130" s="14"/>
      <c r="G130" s="14"/>
    </row>
    <row r="131" spans="1:7" ht="23.4" x14ac:dyDescent="0.45">
      <c r="A131" s="14"/>
      <c r="B131" s="14"/>
      <c r="C131" s="14"/>
      <c r="D131" s="14"/>
      <c r="E131" s="14"/>
      <c r="F131" s="14"/>
      <c r="G131" s="14"/>
    </row>
    <row r="132" spans="1:7" ht="23.4" x14ac:dyDescent="0.45">
      <c r="A132" s="14"/>
      <c r="B132" s="14"/>
      <c r="C132" s="14"/>
      <c r="D132" s="14"/>
      <c r="E132" s="14"/>
      <c r="F132" s="14"/>
      <c r="G132" s="14"/>
    </row>
    <row r="133" spans="1:7" ht="23.4" x14ac:dyDescent="0.45">
      <c r="A133" s="14"/>
      <c r="B133" s="14"/>
      <c r="C133" s="14"/>
      <c r="D133" s="14"/>
      <c r="E133" s="14"/>
      <c r="F133" s="14"/>
      <c r="G133" s="14"/>
    </row>
    <row r="134" spans="1:7" ht="23.4" x14ac:dyDescent="0.45">
      <c r="A134" s="14"/>
      <c r="B134" s="14"/>
      <c r="C134" s="14"/>
      <c r="D134" s="14"/>
      <c r="E134" s="14"/>
      <c r="F134" s="14"/>
      <c r="G134" s="14"/>
    </row>
    <row r="135" spans="1:7" ht="23.4" x14ac:dyDescent="0.45">
      <c r="A135" s="14"/>
      <c r="B135" s="14"/>
      <c r="C135" s="14"/>
      <c r="D135" s="14"/>
      <c r="E135" s="14"/>
      <c r="F135" s="14"/>
      <c r="G135" s="14"/>
    </row>
    <row r="136" spans="1:7" ht="23.4" x14ac:dyDescent="0.45">
      <c r="A136" s="14"/>
      <c r="B136" s="14"/>
      <c r="C136" s="14"/>
      <c r="D136" s="14"/>
      <c r="E136" s="14"/>
      <c r="F136" s="14"/>
      <c r="G136" s="14"/>
    </row>
    <row r="137" spans="1:7" ht="23.4" x14ac:dyDescent="0.45">
      <c r="A137" s="14"/>
      <c r="B137" s="14"/>
      <c r="C137" s="14"/>
      <c r="D137" s="14"/>
      <c r="E137" s="14"/>
      <c r="F137" s="14"/>
      <c r="G137" s="14"/>
    </row>
    <row r="138" spans="1:7" ht="23.4" x14ac:dyDescent="0.45">
      <c r="A138" s="14"/>
      <c r="B138" s="14"/>
      <c r="C138" s="14"/>
      <c r="D138" s="14"/>
      <c r="E138" s="14"/>
      <c r="F138" s="14"/>
      <c r="G138" s="14"/>
    </row>
    <row r="139" spans="1:7" ht="23.4" x14ac:dyDescent="0.45">
      <c r="A139" s="14"/>
      <c r="B139" s="14"/>
      <c r="C139" s="14"/>
      <c r="D139" s="14"/>
      <c r="E139" s="14"/>
      <c r="F139" s="14"/>
      <c r="G139" s="14"/>
    </row>
    <row r="140" spans="1:7" ht="23.4" x14ac:dyDescent="0.45">
      <c r="A140" s="14"/>
      <c r="B140" s="14"/>
      <c r="C140" s="14"/>
      <c r="D140" s="14"/>
      <c r="E140" s="14"/>
      <c r="F140" s="14"/>
      <c r="G140" s="14"/>
    </row>
    <row r="141" spans="1:7" ht="23.4" x14ac:dyDescent="0.45">
      <c r="A141" s="14"/>
      <c r="B141" s="14"/>
      <c r="C141" s="14"/>
      <c r="D141" s="14"/>
      <c r="E141" s="14"/>
      <c r="F141" s="14"/>
      <c r="G141" s="14"/>
    </row>
    <row r="142" spans="1:7" ht="23.4" x14ac:dyDescent="0.45">
      <c r="A142" s="14"/>
      <c r="B142" s="14"/>
      <c r="C142" s="14"/>
      <c r="D142" s="14"/>
      <c r="E142" s="14"/>
      <c r="F142" s="14"/>
      <c r="G142" s="14"/>
    </row>
    <row r="143" spans="1:7" ht="23.4" x14ac:dyDescent="0.45">
      <c r="A143" s="14"/>
      <c r="B143" s="14"/>
      <c r="C143" s="14"/>
      <c r="D143" s="14"/>
      <c r="E143" s="14"/>
      <c r="F143" s="14"/>
      <c r="G143" s="14"/>
    </row>
    <row r="144" spans="1:7" ht="23.4" x14ac:dyDescent="0.45">
      <c r="A144" s="14"/>
      <c r="B144" s="14"/>
      <c r="C144" s="14"/>
      <c r="D144" s="14"/>
      <c r="E144" s="14"/>
      <c r="F144" s="14"/>
      <c r="G144" s="14"/>
    </row>
    <row r="145" spans="1:7" ht="23.4" x14ac:dyDescent="0.45">
      <c r="A145" s="14"/>
      <c r="B145" s="14"/>
      <c r="C145" s="14"/>
      <c r="D145" s="14"/>
      <c r="E145" s="14"/>
      <c r="F145" s="14"/>
      <c r="G145" s="14"/>
    </row>
    <row r="146" spans="1:7" ht="23.4" x14ac:dyDescent="0.45">
      <c r="A146" s="14"/>
      <c r="B146" s="14"/>
      <c r="C146" s="14"/>
      <c r="D146" s="14"/>
      <c r="E146" s="14"/>
      <c r="F146" s="14"/>
      <c r="G146" s="14"/>
    </row>
    <row r="147" spans="1:7" ht="23.4" x14ac:dyDescent="0.45">
      <c r="A147" s="14"/>
      <c r="B147" s="14"/>
      <c r="C147" s="14"/>
      <c r="D147" s="14"/>
      <c r="E147" s="14"/>
      <c r="F147" s="14"/>
      <c r="G147" s="14"/>
    </row>
    <row r="148" spans="1:7" ht="23.4" x14ac:dyDescent="0.45">
      <c r="A148" s="14"/>
      <c r="B148" s="14"/>
      <c r="C148" s="14"/>
      <c r="D148" s="14"/>
      <c r="E148" s="14"/>
      <c r="F148" s="14"/>
      <c r="G148" s="14"/>
    </row>
    <row r="149" spans="1:7" ht="23.4" x14ac:dyDescent="0.45">
      <c r="A149" s="14"/>
      <c r="B149" s="14"/>
      <c r="C149" s="14"/>
      <c r="D149" s="14"/>
      <c r="E149" s="14"/>
      <c r="F149" s="14"/>
      <c r="G149" s="14"/>
    </row>
    <row r="150" spans="1:7" ht="23.4" x14ac:dyDescent="0.45">
      <c r="A150" s="14"/>
      <c r="B150" s="14"/>
      <c r="C150" s="14"/>
      <c r="D150" s="14"/>
      <c r="E150" s="14"/>
      <c r="F150" s="14"/>
      <c r="G150" s="14"/>
    </row>
    <row r="151" spans="1:7" ht="23.4" x14ac:dyDescent="0.45">
      <c r="A151" s="14"/>
      <c r="B151" s="14"/>
      <c r="C151" s="14"/>
      <c r="D151" s="14"/>
      <c r="E151" s="14"/>
      <c r="F151" s="14"/>
      <c r="G151" s="14"/>
    </row>
    <row r="152" spans="1:7" ht="23.4" x14ac:dyDescent="0.45">
      <c r="A152" s="14"/>
      <c r="B152" s="14"/>
      <c r="C152" s="14"/>
      <c r="D152" s="14"/>
      <c r="E152" s="14"/>
      <c r="F152" s="14"/>
      <c r="G152" s="14"/>
    </row>
    <row r="153" spans="1:7" ht="23.4" x14ac:dyDescent="0.45">
      <c r="A153" s="14"/>
      <c r="B153" s="14"/>
      <c r="C153" s="14"/>
      <c r="D153" s="14"/>
      <c r="E153" s="14"/>
      <c r="F153" s="14"/>
      <c r="G153" s="14"/>
    </row>
    <row r="154" spans="1:7" ht="23.4" x14ac:dyDescent="0.45">
      <c r="A154" s="14"/>
      <c r="B154" s="14"/>
      <c r="C154" s="14"/>
      <c r="D154" s="14"/>
      <c r="E154" s="14"/>
      <c r="F154" s="14"/>
      <c r="G154" s="14"/>
    </row>
    <row r="155" spans="1:7" ht="23.4" x14ac:dyDescent="0.45">
      <c r="A155" s="14"/>
      <c r="B155" s="14"/>
      <c r="C155" s="14"/>
      <c r="D155" s="14"/>
      <c r="E155" s="14"/>
      <c r="F155" s="14"/>
      <c r="G155" s="14"/>
    </row>
    <row r="156" spans="1:7" ht="23.4" x14ac:dyDescent="0.45">
      <c r="A156" s="14"/>
      <c r="B156" s="14"/>
      <c r="C156" s="14"/>
      <c r="D156" s="14"/>
      <c r="E156" s="14"/>
      <c r="F156" s="14"/>
      <c r="G156" s="14"/>
    </row>
    <row r="157" spans="1:7" ht="23.4" x14ac:dyDescent="0.45">
      <c r="A157" s="14"/>
      <c r="B157" s="14"/>
      <c r="C157" s="14"/>
      <c r="D157" s="14"/>
      <c r="E157" s="14"/>
      <c r="F157" s="14"/>
      <c r="G157" s="14"/>
    </row>
    <row r="158" spans="1:7" ht="23.4" x14ac:dyDescent="0.45">
      <c r="A158" s="14"/>
      <c r="B158" s="14"/>
      <c r="C158" s="14"/>
      <c r="D158" s="14"/>
      <c r="E158" s="14"/>
      <c r="F158" s="14"/>
      <c r="G158" s="14"/>
    </row>
    <row r="159" spans="1:7" ht="23.4" x14ac:dyDescent="0.45">
      <c r="A159" s="14"/>
      <c r="B159" s="14"/>
      <c r="C159" s="14"/>
      <c r="D159" s="14"/>
      <c r="E159" s="14"/>
      <c r="F159" s="14"/>
      <c r="G159" s="14"/>
    </row>
    <row r="160" spans="1:7" ht="23.4" x14ac:dyDescent="0.45">
      <c r="A160" s="14"/>
      <c r="B160" s="14"/>
      <c r="C160" s="14"/>
      <c r="D160" s="14"/>
      <c r="E160" s="14"/>
      <c r="F160" s="14"/>
      <c r="G160" s="14"/>
    </row>
    <row r="161" spans="1:7" ht="23.4" x14ac:dyDescent="0.45">
      <c r="A161" s="14"/>
      <c r="B161" s="14"/>
      <c r="C161" s="14"/>
      <c r="D161" s="14"/>
      <c r="E161" s="14"/>
      <c r="F161" s="14"/>
      <c r="G161" s="14"/>
    </row>
    <row r="162" spans="1:7" ht="23.4" x14ac:dyDescent="0.45">
      <c r="A162" s="14"/>
      <c r="B162" s="14"/>
      <c r="C162" s="14"/>
      <c r="D162" s="14"/>
      <c r="E162" s="14"/>
      <c r="F162" s="14"/>
      <c r="G162" s="14"/>
    </row>
    <row r="163" spans="1:7" ht="23.4" x14ac:dyDescent="0.45">
      <c r="A163" s="14"/>
      <c r="B163" s="14"/>
      <c r="C163" s="14"/>
      <c r="D163" s="14"/>
      <c r="E163" s="14"/>
      <c r="F163" s="14"/>
      <c r="G163" s="14"/>
    </row>
    <row r="164" spans="1:7" ht="23.4" x14ac:dyDescent="0.45">
      <c r="A164" s="14"/>
      <c r="B164" s="14"/>
      <c r="C164" s="14"/>
      <c r="D164" s="14"/>
      <c r="E164" s="14"/>
      <c r="F164" s="14"/>
      <c r="G164" s="14"/>
    </row>
    <row r="165" spans="1:7" ht="23.4" x14ac:dyDescent="0.45">
      <c r="A165" s="14"/>
      <c r="B165" s="14"/>
      <c r="C165" s="14"/>
      <c r="D165" s="14"/>
      <c r="E165" s="14"/>
      <c r="F165" s="14"/>
      <c r="G165" s="14"/>
    </row>
    <row r="166" spans="1:7" ht="23.4" x14ac:dyDescent="0.45">
      <c r="A166" s="14"/>
      <c r="B166" s="14"/>
      <c r="C166" s="14"/>
      <c r="D166" s="14"/>
      <c r="E166" s="14"/>
      <c r="F166" s="14"/>
      <c r="G166" s="14"/>
    </row>
    <row r="167" spans="1:7" ht="23.4" x14ac:dyDescent="0.45">
      <c r="A167" s="14"/>
      <c r="B167" s="14"/>
      <c r="C167" s="14"/>
      <c r="D167" s="14"/>
      <c r="E167" s="14"/>
      <c r="F167" s="14"/>
      <c r="G167" s="14"/>
    </row>
    <row r="168" spans="1:7" ht="23.4" x14ac:dyDescent="0.45">
      <c r="A168" s="14"/>
      <c r="B168" s="14"/>
      <c r="C168" s="14"/>
      <c r="D168" s="14"/>
      <c r="E168" s="14"/>
      <c r="F168" s="14"/>
      <c r="G168" s="14"/>
    </row>
    <row r="169" spans="1:7" ht="23.4" x14ac:dyDescent="0.45">
      <c r="A169" s="14"/>
      <c r="B169" s="14"/>
      <c r="C169" s="14"/>
      <c r="D169" s="14"/>
      <c r="E169" s="14"/>
      <c r="F169" s="14"/>
      <c r="G169" s="14"/>
    </row>
    <row r="170" spans="1:7" ht="23.4" x14ac:dyDescent="0.45">
      <c r="A170" s="14"/>
      <c r="B170" s="14"/>
      <c r="C170" s="14"/>
      <c r="D170" s="14"/>
      <c r="E170" s="14"/>
      <c r="F170" s="14"/>
      <c r="G170" s="14"/>
    </row>
    <row r="171" spans="1:7" ht="23.4" x14ac:dyDescent="0.45">
      <c r="A171" s="14"/>
      <c r="B171" s="14"/>
      <c r="C171" s="14"/>
      <c r="D171" s="14"/>
      <c r="E171" s="14"/>
      <c r="F171" s="14"/>
      <c r="G171" s="14"/>
    </row>
    <row r="172" spans="1:7" ht="23.4" x14ac:dyDescent="0.45">
      <c r="A172" s="14"/>
      <c r="B172" s="14"/>
      <c r="C172" s="14"/>
      <c r="D172" s="14"/>
      <c r="E172" s="14"/>
      <c r="F172" s="14"/>
      <c r="G172" s="14"/>
    </row>
    <row r="173" spans="1:7" ht="23.4" x14ac:dyDescent="0.45">
      <c r="A173" s="14"/>
      <c r="B173" s="14"/>
      <c r="C173" s="14"/>
      <c r="D173" s="14"/>
      <c r="E173" s="14"/>
      <c r="F173" s="14"/>
      <c r="G173" s="14"/>
    </row>
    <row r="174" spans="1:7" ht="23.4" x14ac:dyDescent="0.45">
      <c r="A174" s="14"/>
      <c r="B174" s="14"/>
      <c r="C174" s="14"/>
      <c r="D174" s="14"/>
      <c r="E174" s="14"/>
      <c r="F174" s="14"/>
      <c r="G174" s="14"/>
    </row>
    <row r="175" spans="1:7" ht="23.4" x14ac:dyDescent="0.45">
      <c r="A175" s="14"/>
      <c r="B175" s="14"/>
      <c r="C175" s="14"/>
      <c r="D175" s="14"/>
      <c r="E175" s="14"/>
      <c r="F175" s="14"/>
      <c r="G175" s="14"/>
    </row>
    <row r="176" spans="1:7" ht="23.4" x14ac:dyDescent="0.45">
      <c r="A176" s="14"/>
      <c r="B176" s="14"/>
      <c r="C176" s="14"/>
      <c r="D176" s="14"/>
      <c r="E176" s="14"/>
      <c r="F176" s="14"/>
      <c r="G176" s="14"/>
    </row>
    <row r="177" spans="1:7" ht="23.4" x14ac:dyDescent="0.45">
      <c r="A177" s="14"/>
      <c r="B177" s="14"/>
      <c r="C177" s="14"/>
      <c r="D177" s="14"/>
      <c r="E177" s="14"/>
      <c r="F177" s="14"/>
      <c r="G177" s="14"/>
    </row>
    <row r="178" spans="1:7" ht="23.4" x14ac:dyDescent="0.45">
      <c r="A178" s="14"/>
      <c r="B178" s="14"/>
      <c r="C178" s="14"/>
      <c r="D178" s="14"/>
      <c r="E178" s="14"/>
      <c r="F178" s="14"/>
      <c r="G178" s="14"/>
    </row>
    <row r="179" spans="1:7" ht="23.4" x14ac:dyDescent="0.45">
      <c r="A179" s="14"/>
      <c r="B179" s="14"/>
      <c r="C179" s="14"/>
      <c r="D179" s="14"/>
      <c r="E179" s="14"/>
      <c r="F179" s="14"/>
      <c r="G179" s="14"/>
    </row>
    <row r="180" spans="1:7" ht="23.4" x14ac:dyDescent="0.45">
      <c r="A180" s="14"/>
      <c r="B180" s="14"/>
      <c r="C180" s="14"/>
      <c r="D180" s="14"/>
      <c r="E180" s="14"/>
      <c r="F180" s="14"/>
      <c r="G180" s="14"/>
    </row>
    <row r="181" spans="1:7" ht="23.4" x14ac:dyDescent="0.45">
      <c r="A181" s="14"/>
      <c r="B181" s="14"/>
      <c r="C181" s="14"/>
      <c r="D181" s="14"/>
      <c r="E181" s="14"/>
      <c r="F181" s="14"/>
      <c r="G181" s="14"/>
    </row>
    <row r="182" spans="1:7" ht="23.4" x14ac:dyDescent="0.45">
      <c r="A182" s="14"/>
      <c r="B182" s="14"/>
      <c r="C182" s="14"/>
      <c r="D182" s="14"/>
      <c r="E182" s="14"/>
      <c r="F182" s="14"/>
      <c r="G182" s="14"/>
    </row>
    <row r="183" spans="1:7" ht="23.4" x14ac:dyDescent="0.45">
      <c r="A183" s="14"/>
      <c r="B183" s="14"/>
      <c r="C183" s="14"/>
      <c r="D183" s="14"/>
      <c r="E183" s="14"/>
      <c r="F183" s="14"/>
      <c r="G183" s="14"/>
    </row>
    <row r="184" spans="1:7" ht="23.4" x14ac:dyDescent="0.45">
      <c r="A184" s="14"/>
      <c r="B184" s="14"/>
      <c r="C184" s="14"/>
      <c r="D184" s="14"/>
      <c r="E184" s="14"/>
      <c r="F184" s="14"/>
      <c r="G184" s="14"/>
    </row>
    <row r="185" spans="1:7" ht="23.4" x14ac:dyDescent="0.45">
      <c r="A185" s="14"/>
      <c r="B185" s="14"/>
      <c r="C185" s="14"/>
      <c r="D185" s="14"/>
      <c r="E185" s="14"/>
      <c r="F185" s="14"/>
      <c r="G185" s="14"/>
    </row>
    <row r="186" spans="1:7" ht="23.4" x14ac:dyDescent="0.45">
      <c r="A186" s="14"/>
      <c r="B186" s="14"/>
      <c r="C186" s="14"/>
      <c r="D186" s="14"/>
      <c r="E186" s="14"/>
      <c r="F186" s="14"/>
      <c r="G186" s="14"/>
    </row>
    <row r="187" spans="1:7" ht="23.4" x14ac:dyDescent="0.45">
      <c r="A187" s="14"/>
      <c r="B187" s="14"/>
      <c r="C187" s="14"/>
      <c r="D187" s="14"/>
      <c r="E187" s="14"/>
      <c r="F187" s="14"/>
      <c r="G187" s="14"/>
    </row>
    <row r="188" spans="1:7" ht="23.4" x14ac:dyDescent="0.45">
      <c r="A188" s="14"/>
      <c r="B188" s="14"/>
      <c r="C188" s="14"/>
      <c r="D188" s="14"/>
      <c r="E188" s="14"/>
      <c r="F188" s="14"/>
      <c r="G188" s="14"/>
    </row>
    <row r="189" spans="1:7" ht="23.4" x14ac:dyDescent="0.45">
      <c r="A189" s="14"/>
      <c r="B189" s="14"/>
      <c r="C189" s="14"/>
      <c r="D189" s="14"/>
      <c r="E189" s="14"/>
      <c r="F189" s="14"/>
      <c r="G189" s="14"/>
    </row>
    <row r="190" spans="1:7" ht="23.4" x14ac:dyDescent="0.45">
      <c r="A190" s="14"/>
      <c r="B190" s="14"/>
      <c r="C190" s="14"/>
      <c r="D190" s="14"/>
      <c r="E190" s="14"/>
      <c r="F190" s="14"/>
      <c r="G190" s="14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C03AC-F98F-40FB-8B95-92ECC3733C59}">
  <dimension ref="A1:S12"/>
  <sheetViews>
    <sheetView workbookViewId="0">
      <selection sqref="A1:S12"/>
    </sheetView>
  </sheetViews>
  <sheetFormatPr defaultRowHeight="14.4" x14ac:dyDescent="0.3"/>
  <cols>
    <col min="1" max="1" width="13.33203125" bestFit="1" customWidth="1"/>
    <col min="2" max="2" width="30" bestFit="1" customWidth="1"/>
    <col min="3" max="3" width="14.77734375" bestFit="1" customWidth="1"/>
    <col min="4" max="4" width="21.77734375" bestFit="1" customWidth="1"/>
    <col min="5" max="5" width="29.21875" bestFit="1" customWidth="1"/>
    <col min="6" max="6" width="14.6640625" bestFit="1" customWidth="1"/>
    <col min="7" max="7" width="23.6640625" bestFit="1" customWidth="1"/>
    <col min="8" max="8" width="22.21875" bestFit="1" customWidth="1"/>
    <col min="9" max="9" width="12.5546875" bestFit="1" customWidth="1"/>
    <col min="10" max="10" width="19.109375" bestFit="1" customWidth="1"/>
    <col min="11" max="11" width="22.77734375" bestFit="1" customWidth="1"/>
    <col min="12" max="12" width="15.6640625" bestFit="1" customWidth="1"/>
    <col min="13" max="13" width="24" bestFit="1" customWidth="1"/>
    <col min="14" max="14" width="24.21875" bestFit="1" customWidth="1"/>
    <col min="15" max="15" width="14.21875" bestFit="1" customWidth="1"/>
    <col min="16" max="16" width="23.77734375" bestFit="1" customWidth="1"/>
    <col min="17" max="17" width="12.88671875" bestFit="1" customWidth="1"/>
    <col min="18" max="18" width="17.21875" bestFit="1" customWidth="1"/>
    <col min="19" max="19" width="39.21875" bestFit="1" customWidth="1"/>
  </cols>
  <sheetData>
    <row r="1" spans="1:19" ht="17.399999999999999" x14ac:dyDescent="0.3">
      <c r="A1" s="16" t="s">
        <v>917</v>
      </c>
      <c r="B1" s="16" t="s">
        <v>1</v>
      </c>
      <c r="C1" s="16" t="s">
        <v>918</v>
      </c>
      <c r="D1" s="16" t="s">
        <v>394</v>
      </c>
      <c r="E1" s="16" t="s">
        <v>395</v>
      </c>
      <c r="F1" s="16" t="s">
        <v>887</v>
      </c>
      <c r="G1" s="16" t="s">
        <v>299</v>
      </c>
      <c r="H1" s="16" t="s">
        <v>919</v>
      </c>
      <c r="I1" s="16" t="s">
        <v>396</v>
      </c>
      <c r="J1" s="16" t="s">
        <v>920</v>
      </c>
      <c r="K1" s="16" t="s">
        <v>921</v>
      </c>
      <c r="L1" s="16" t="s">
        <v>922</v>
      </c>
      <c r="M1" s="16" t="s">
        <v>923</v>
      </c>
      <c r="N1" s="16" t="s">
        <v>924</v>
      </c>
      <c r="O1" s="16" t="s">
        <v>401</v>
      </c>
      <c r="P1" s="16" t="s">
        <v>925</v>
      </c>
      <c r="Q1" s="16" t="s">
        <v>926</v>
      </c>
      <c r="R1" s="16" t="s">
        <v>927</v>
      </c>
      <c r="S1" s="16" t="s">
        <v>928</v>
      </c>
    </row>
    <row r="2" spans="1:19" ht="31.2" x14ac:dyDescent="0.6">
      <c r="A2" s="15">
        <v>101</v>
      </c>
      <c r="B2" s="15" t="s">
        <v>399</v>
      </c>
      <c r="C2" s="15" t="s">
        <v>929</v>
      </c>
      <c r="D2" s="15" t="s">
        <v>404</v>
      </c>
      <c r="E2" s="15" t="s">
        <v>405</v>
      </c>
      <c r="F2" s="15" t="s">
        <v>256</v>
      </c>
      <c r="G2" s="15" t="s">
        <v>9</v>
      </c>
      <c r="H2" s="15" t="s">
        <v>930</v>
      </c>
      <c r="I2" s="15">
        <v>55000</v>
      </c>
      <c r="J2" s="15">
        <v>3</v>
      </c>
      <c r="K2" s="15">
        <v>4.5</v>
      </c>
      <c r="L2" s="15" t="s">
        <v>931</v>
      </c>
      <c r="M2" s="15">
        <v>9876543210</v>
      </c>
      <c r="N2" s="15" t="s">
        <v>932</v>
      </c>
      <c r="O2" s="15" t="s">
        <v>933</v>
      </c>
      <c r="P2" s="15" t="s">
        <v>934</v>
      </c>
      <c r="Q2" s="15">
        <v>12</v>
      </c>
      <c r="R2" s="15">
        <v>8</v>
      </c>
      <c r="S2" s="15" t="s">
        <v>935</v>
      </c>
    </row>
    <row r="3" spans="1:19" ht="31.2" x14ac:dyDescent="0.6">
      <c r="A3" s="15">
        <v>102</v>
      </c>
      <c r="B3" s="15" t="s">
        <v>403</v>
      </c>
      <c r="C3" s="15" t="s">
        <v>936</v>
      </c>
      <c r="D3" s="15" t="s">
        <v>400</v>
      </c>
      <c r="E3" s="15" t="s">
        <v>937</v>
      </c>
      <c r="F3" s="15" t="s">
        <v>261</v>
      </c>
      <c r="G3" s="15" t="s">
        <v>226</v>
      </c>
      <c r="H3" s="15" t="s">
        <v>938</v>
      </c>
      <c r="I3" s="15">
        <v>48000</v>
      </c>
      <c r="J3" s="15">
        <v>5</v>
      </c>
      <c r="K3" s="15">
        <v>4</v>
      </c>
      <c r="L3" s="15" t="s">
        <v>931</v>
      </c>
      <c r="M3" s="15" t="s">
        <v>939</v>
      </c>
      <c r="N3" s="15" t="s">
        <v>940</v>
      </c>
      <c r="O3" s="15" t="s">
        <v>941</v>
      </c>
      <c r="P3" s="15" t="s">
        <v>942</v>
      </c>
      <c r="Q3" s="15">
        <v>10</v>
      </c>
      <c r="R3" s="15">
        <v>7</v>
      </c>
      <c r="S3" s="15" t="s">
        <v>943</v>
      </c>
    </row>
    <row r="4" spans="1:19" ht="31.2" x14ac:dyDescent="0.6">
      <c r="A4" s="15">
        <v>103</v>
      </c>
      <c r="B4" s="15" t="s">
        <v>944</v>
      </c>
      <c r="C4" s="15" t="s">
        <v>945</v>
      </c>
      <c r="D4" s="15" t="s">
        <v>408</v>
      </c>
      <c r="E4" s="15" t="s">
        <v>428</v>
      </c>
      <c r="F4" s="15" t="s">
        <v>256</v>
      </c>
      <c r="G4" s="15" t="s">
        <v>150</v>
      </c>
      <c r="H4" s="15" t="s">
        <v>946</v>
      </c>
      <c r="I4" s="15">
        <v>60000</v>
      </c>
      <c r="J4" s="15">
        <v>6</v>
      </c>
      <c r="K4" s="15">
        <v>4.8</v>
      </c>
      <c r="L4" s="15" t="s">
        <v>931</v>
      </c>
      <c r="M4" s="15" t="s">
        <v>947</v>
      </c>
      <c r="N4" s="15" t="s">
        <v>948</v>
      </c>
      <c r="O4" s="15" t="s">
        <v>949</v>
      </c>
      <c r="P4" s="15" t="s">
        <v>950</v>
      </c>
      <c r="Q4" s="15">
        <v>8</v>
      </c>
      <c r="R4" s="15">
        <v>9</v>
      </c>
      <c r="S4" s="15" t="s">
        <v>951</v>
      </c>
    </row>
    <row r="5" spans="1:19" ht="31.2" x14ac:dyDescent="0.6">
      <c r="A5" s="15">
        <v>104</v>
      </c>
      <c r="B5" s="15" t="s">
        <v>952</v>
      </c>
      <c r="C5" s="15" t="s">
        <v>953</v>
      </c>
      <c r="D5" s="15" t="s">
        <v>404</v>
      </c>
      <c r="E5" s="15" t="s">
        <v>417</v>
      </c>
      <c r="F5" s="15" t="s">
        <v>261</v>
      </c>
      <c r="G5" s="15" t="s">
        <v>264</v>
      </c>
      <c r="H5" s="15" t="s">
        <v>954</v>
      </c>
      <c r="I5" s="15">
        <v>45000</v>
      </c>
      <c r="J5" s="15">
        <v>2</v>
      </c>
      <c r="K5" s="15">
        <v>3.9</v>
      </c>
      <c r="L5" s="15" t="s">
        <v>931</v>
      </c>
      <c r="M5" s="15" t="s">
        <v>955</v>
      </c>
      <c r="N5" s="15" t="s">
        <v>956</v>
      </c>
      <c r="O5" s="15" t="s">
        <v>933</v>
      </c>
      <c r="P5" s="15" t="s">
        <v>957</v>
      </c>
      <c r="Q5" s="15">
        <v>15</v>
      </c>
      <c r="R5" s="15">
        <v>8</v>
      </c>
      <c r="S5" s="15" t="s">
        <v>958</v>
      </c>
    </row>
    <row r="6" spans="1:19" ht="31.2" x14ac:dyDescent="0.6">
      <c r="A6" s="15">
        <v>105</v>
      </c>
      <c r="B6" s="15" t="s">
        <v>416</v>
      </c>
      <c r="C6" s="15" t="s">
        <v>959</v>
      </c>
      <c r="D6" s="15" t="s">
        <v>303</v>
      </c>
      <c r="E6" s="15" t="s">
        <v>960</v>
      </c>
      <c r="F6" s="15" t="s">
        <v>256</v>
      </c>
      <c r="G6" s="15" t="s">
        <v>415</v>
      </c>
      <c r="H6" s="17">
        <v>43245</v>
      </c>
      <c r="I6" s="15">
        <v>12000</v>
      </c>
      <c r="J6" s="15">
        <v>7</v>
      </c>
      <c r="K6" s="15">
        <v>4.2</v>
      </c>
      <c r="L6" s="15" t="s">
        <v>931</v>
      </c>
      <c r="M6" s="15" t="s">
        <v>961</v>
      </c>
      <c r="N6" s="15" t="s">
        <v>962</v>
      </c>
      <c r="O6" s="15" t="s">
        <v>963</v>
      </c>
      <c r="P6" s="15" t="s">
        <v>964</v>
      </c>
      <c r="Q6" s="15">
        <v>6</v>
      </c>
      <c r="R6" s="15">
        <v>9</v>
      </c>
      <c r="S6" s="15" t="s">
        <v>965</v>
      </c>
    </row>
    <row r="7" spans="1:19" ht="31.2" x14ac:dyDescent="0.6">
      <c r="A7" s="15">
        <v>106</v>
      </c>
      <c r="B7" s="15" t="s">
        <v>966</v>
      </c>
      <c r="C7" s="15" t="s">
        <v>967</v>
      </c>
      <c r="D7" s="15" t="s">
        <v>412</v>
      </c>
      <c r="E7" s="15" t="s">
        <v>968</v>
      </c>
      <c r="F7" s="15" t="s">
        <v>261</v>
      </c>
      <c r="G7" s="15" t="s">
        <v>969</v>
      </c>
      <c r="H7" s="15" t="s">
        <v>970</v>
      </c>
      <c r="I7" s="15">
        <v>47000</v>
      </c>
      <c r="J7" s="15">
        <v>3</v>
      </c>
      <c r="K7" s="15">
        <v>4.0999999999999996</v>
      </c>
      <c r="L7" s="15" t="s">
        <v>931</v>
      </c>
      <c r="M7" s="15" t="s">
        <v>971</v>
      </c>
      <c r="N7" s="15" t="s">
        <v>972</v>
      </c>
      <c r="O7" s="15" t="s">
        <v>973</v>
      </c>
      <c r="P7" s="15" t="s">
        <v>974</v>
      </c>
      <c r="Q7" s="15">
        <v>9</v>
      </c>
      <c r="R7" s="15">
        <v>8</v>
      </c>
      <c r="S7" s="15" t="s">
        <v>975</v>
      </c>
    </row>
    <row r="8" spans="1:19" ht="31.2" x14ac:dyDescent="0.6">
      <c r="A8" s="15">
        <v>107</v>
      </c>
      <c r="B8" s="15" t="s">
        <v>423</v>
      </c>
      <c r="C8" s="15" t="s">
        <v>976</v>
      </c>
      <c r="D8" s="15" t="s">
        <v>977</v>
      </c>
      <c r="E8" s="15" t="s">
        <v>436</v>
      </c>
      <c r="F8" s="15" t="s">
        <v>256</v>
      </c>
      <c r="G8" s="15" t="s">
        <v>426</v>
      </c>
      <c r="H8" s="15" t="s">
        <v>978</v>
      </c>
      <c r="I8" s="15">
        <v>50000</v>
      </c>
      <c r="J8" s="15">
        <v>8</v>
      </c>
      <c r="K8" s="15">
        <v>3.8</v>
      </c>
      <c r="L8" s="15" t="s">
        <v>979</v>
      </c>
      <c r="M8" s="15" t="s">
        <v>980</v>
      </c>
      <c r="N8" s="15" t="s">
        <v>981</v>
      </c>
      <c r="O8" s="15" t="s">
        <v>982</v>
      </c>
      <c r="P8" s="15" t="s">
        <v>983</v>
      </c>
      <c r="Q8" s="15">
        <v>20</v>
      </c>
      <c r="R8" s="15">
        <v>7</v>
      </c>
      <c r="S8" s="15" t="s">
        <v>984</v>
      </c>
    </row>
    <row r="9" spans="1:19" ht="31.2" x14ac:dyDescent="0.6">
      <c r="A9" s="15">
        <v>108</v>
      </c>
      <c r="B9" s="15" t="s">
        <v>985</v>
      </c>
      <c r="C9" s="15" t="s">
        <v>986</v>
      </c>
      <c r="D9" s="15" t="s">
        <v>408</v>
      </c>
      <c r="E9" s="15" t="s">
        <v>409</v>
      </c>
      <c r="F9" s="15" t="s">
        <v>261</v>
      </c>
      <c r="G9" s="15" t="s">
        <v>438</v>
      </c>
      <c r="H9" s="15" t="s">
        <v>987</v>
      </c>
      <c r="I9" s="15">
        <v>50000</v>
      </c>
      <c r="J9" s="15">
        <v>1</v>
      </c>
      <c r="K9" s="15">
        <v>4.5999999999999996</v>
      </c>
      <c r="L9" s="15" t="s">
        <v>931</v>
      </c>
      <c r="M9" s="15" t="s">
        <v>988</v>
      </c>
      <c r="N9" s="15" t="s">
        <v>989</v>
      </c>
      <c r="O9" s="15" t="s">
        <v>949</v>
      </c>
      <c r="P9" s="15" t="s">
        <v>990</v>
      </c>
      <c r="Q9" s="15">
        <v>5</v>
      </c>
      <c r="R9" s="15">
        <v>8</v>
      </c>
      <c r="S9" s="15" t="s">
        <v>991</v>
      </c>
    </row>
    <row r="10" spans="1:19" ht="31.2" x14ac:dyDescent="0.6">
      <c r="A10" s="15">
        <v>109</v>
      </c>
      <c r="B10" s="15" t="s">
        <v>992</v>
      </c>
      <c r="C10" s="15" t="s">
        <v>993</v>
      </c>
      <c r="D10" s="15" t="s">
        <v>404</v>
      </c>
      <c r="E10" s="15" t="s">
        <v>994</v>
      </c>
      <c r="F10" s="15" t="s">
        <v>256</v>
      </c>
      <c r="G10" s="15" t="s">
        <v>115</v>
      </c>
      <c r="H10" s="15" t="s">
        <v>995</v>
      </c>
      <c r="I10" s="15">
        <v>65000</v>
      </c>
      <c r="J10" s="15">
        <v>6</v>
      </c>
      <c r="K10" s="15">
        <v>4.7</v>
      </c>
      <c r="L10" s="15" t="s">
        <v>931</v>
      </c>
      <c r="M10" s="15" t="s">
        <v>996</v>
      </c>
      <c r="N10" s="15" t="s">
        <v>997</v>
      </c>
      <c r="O10" s="15" t="s">
        <v>933</v>
      </c>
      <c r="P10" s="15" t="s">
        <v>998</v>
      </c>
      <c r="Q10" s="15">
        <v>7</v>
      </c>
      <c r="R10" s="15">
        <v>9</v>
      </c>
      <c r="S10" s="15" t="s">
        <v>999</v>
      </c>
    </row>
    <row r="11" spans="1:19" ht="31.2" x14ac:dyDescent="0.6">
      <c r="A11" s="15">
        <v>110</v>
      </c>
      <c r="B11" s="15" t="s">
        <v>1000</v>
      </c>
      <c r="C11" s="15" t="s">
        <v>982</v>
      </c>
      <c r="D11" s="15" t="s">
        <v>400</v>
      </c>
      <c r="E11" s="15" t="s">
        <v>421</v>
      </c>
      <c r="F11" s="15" t="s">
        <v>261</v>
      </c>
      <c r="G11" s="15" t="s">
        <v>94</v>
      </c>
      <c r="H11" s="15" t="s">
        <v>1001</v>
      </c>
      <c r="I11" s="15">
        <v>46000</v>
      </c>
      <c r="J11" s="15">
        <v>4</v>
      </c>
      <c r="K11" s="15">
        <v>4</v>
      </c>
      <c r="L11" s="15" t="s">
        <v>931</v>
      </c>
      <c r="M11" s="15" t="s">
        <v>1002</v>
      </c>
      <c r="N11" s="15" t="s">
        <v>1003</v>
      </c>
      <c r="O11" s="18" t="s">
        <v>941</v>
      </c>
      <c r="P11" s="18" t="s">
        <v>1004</v>
      </c>
      <c r="Q11" s="15">
        <v>11</v>
      </c>
      <c r="R11" s="15">
        <v>8</v>
      </c>
      <c r="S11" s="15" t="s">
        <v>1005</v>
      </c>
    </row>
    <row r="12" spans="1:19" ht="31.2" x14ac:dyDescent="0.6">
      <c r="A12" s="15">
        <v>111</v>
      </c>
      <c r="B12" s="15" t="s">
        <v>1006</v>
      </c>
      <c r="C12" s="15" t="s">
        <v>1007</v>
      </c>
      <c r="D12" s="15" t="s">
        <v>404</v>
      </c>
      <c r="E12" s="15" t="s">
        <v>994</v>
      </c>
      <c r="F12" s="15" t="s">
        <v>1008</v>
      </c>
      <c r="G12" s="15" t="s">
        <v>9</v>
      </c>
      <c r="H12" s="19">
        <v>44141</v>
      </c>
      <c r="I12" s="15">
        <v>25000</v>
      </c>
      <c r="J12" s="15">
        <v>2</v>
      </c>
      <c r="K12" s="15">
        <v>4.5</v>
      </c>
      <c r="L12" s="15" t="s">
        <v>1009</v>
      </c>
      <c r="M12" s="15"/>
      <c r="N12" s="15"/>
      <c r="O12" s="15"/>
      <c r="P12" s="15"/>
      <c r="Q12" s="15"/>
      <c r="R12" s="15"/>
      <c r="S12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8EC41-52D4-4BF4-B705-3C11B8B50596}">
  <dimension ref="A1:G189"/>
  <sheetViews>
    <sheetView workbookViewId="0">
      <selection sqref="A1:G189"/>
    </sheetView>
  </sheetViews>
  <sheetFormatPr defaultRowHeight="14.4" x14ac:dyDescent="0.3"/>
  <cols>
    <col min="1" max="7" width="10.44140625" customWidth="1"/>
  </cols>
  <sheetData>
    <row r="1" spans="1:7" x14ac:dyDescent="0.3">
      <c r="A1" t="s">
        <v>884</v>
      </c>
      <c r="B1" t="s">
        <v>1061</v>
      </c>
      <c r="C1" t="s">
        <v>1062</v>
      </c>
      <c r="D1" t="s">
        <v>1063</v>
      </c>
      <c r="E1" t="s">
        <v>1064</v>
      </c>
      <c r="F1" t="s">
        <v>1065</v>
      </c>
      <c r="G1" t="s">
        <v>1066</v>
      </c>
    </row>
    <row r="2" spans="1:7" x14ac:dyDescent="0.3">
      <c r="A2" t="s">
        <v>469</v>
      </c>
      <c r="B2" t="s">
        <v>470</v>
      </c>
      <c r="C2" t="s">
        <v>471</v>
      </c>
      <c r="D2" t="s">
        <v>472</v>
      </c>
      <c r="E2" t="s">
        <v>473</v>
      </c>
      <c r="F2">
        <v>0.93</v>
      </c>
      <c r="G2" t="s">
        <v>1010</v>
      </c>
    </row>
    <row r="3" spans="1:7" x14ac:dyDescent="0.3">
      <c r="A3" t="s">
        <v>469</v>
      </c>
      <c r="B3" t="s">
        <v>474</v>
      </c>
      <c r="C3" t="s">
        <v>475</v>
      </c>
      <c r="D3" t="s">
        <v>472</v>
      </c>
      <c r="E3" t="s">
        <v>476</v>
      </c>
      <c r="F3">
        <v>0.69</v>
      </c>
      <c r="G3" t="s">
        <v>1011</v>
      </c>
    </row>
    <row r="4" spans="1:7" x14ac:dyDescent="0.3">
      <c r="A4" t="s">
        <v>469</v>
      </c>
      <c r="B4" t="s">
        <v>477</v>
      </c>
      <c r="C4" t="s">
        <v>478</v>
      </c>
      <c r="D4" t="s">
        <v>472</v>
      </c>
      <c r="E4" t="s">
        <v>479</v>
      </c>
      <c r="F4">
        <v>0.91</v>
      </c>
      <c r="G4" t="s">
        <v>1012</v>
      </c>
    </row>
    <row r="5" spans="1:7" x14ac:dyDescent="0.3">
      <c r="A5" t="s">
        <v>480</v>
      </c>
      <c r="B5" t="s">
        <v>481</v>
      </c>
      <c r="C5" t="s">
        <v>482</v>
      </c>
      <c r="D5" t="s">
        <v>472</v>
      </c>
      <c r="E5" t="s">
        <v>479</v>
      </c>
      <c r="F5">
        <v>0.77</v>
      </c>
      <c r="G5" t="s">
        <v>1013</v>
      </c>
    </row>
    <row r="6" spans="1:7" x14ac:dyDescent="0.3">
      <c r="A6" t="s">
        <v>469</v>
      </c>
      <c r="B6" t="s">
        <v>483</v>
      </c>
      <c r="C6" t="s">
        <v>484</v>
      </c>
      <c r="D6" t="s">
        <v>472</v>
      </c>
      <c r="E6" t="s">
        <v>485</v>
      </c>
      <c r="F6">
        <v>0.92</v>
      </c>
      <c r="G6" t="s">
        <v>1014</v>
      </c>
    </row>
    <row r="7" spans="1:7" x14ac:dyDescent="0.3">
      <c r="A7" t="s">
        <v>469</v>
      </c>
      <c r="B7" t="s">
        <v>486</v>
      </c>
      <c r="C7" t="s">
        <v>487</v>
      </c>
      <c r="D7" t="s">
        <v>472</v>
      </c>
      <c r="E7" t="s">
        <v>488</v>
      </c>
      <c r="F7">
        <v>0.92</v>
      </c>
      <c r="G7" t="s">
        <v>1015</v>
      </c>
    </row>
    <row r="8" spans="1:7" x14ac:dyDescent="0.3">
      <c r="A8" t="s">
        <v>469</v>
      </c>
      <c r="B8" t="s">
        <v>489</v>
      </c>
      <c r="C8" t="s">
        <v>490</v>
      </c>
      <c r="D8" t="s">
        <v>472</v>
      </c>
      <c r="E8" t="s">
        <v>491</v>
      </c>
      <c r="F8">
        <v>0.91</v>
      </c>
      <c r="G8" t="s">
        <v>1016</v>
      </c>
    </row>
    <row r="9" spans="1:7" x14ac:dyDescent="0.3">
      <c r="A9" t="s">
        <v>480</v>
      </c>
      <c r="B9" t="s">
        <v>492</v>
      </c>
      <c r="C9" t="s">
        <v>493</v>
      </c>
      <c r="D9" t="s">
        <v>472</v>
      </c>
      <c r="E9" t="s">
        <v>494</v>
      </c>
      <c r="F9">
        <v>0.93</v>
      </c>
      <c r="G9" t="s">
        <v>1017</v>
      </c>
    </row>
    <row r="10" spans="1:7" x14ac:dyDescent="0.3">
      <c r="A10" t="s">
        <v>469</v>
      </c>
      <c r="B10" t="s">
        <v>495</v>
      </c>
      <c r="C10" t="s">
        <v>496</v>
      </c>
      <c r="D10" t="s">
        <v>472</v>
      </c>
      <c r="E10" t="s">
        <v>485</v>
      </c>
      <c r="F10">
        <v>0.99</v>
      </c>
      <c r="G10" t="s">
        <v>1018</v>
      </c>
    </row>
    <row r="11" spans="1:7" x14ac:dyDescent="0.3">
      <c r="A11" t="s">
        <v>480</v>
      </c>
      <c r="B11" t="s">
        <v>497</v>
      </c>
      <c r="C11" t="s">
        <v>498</v>
      </c>
      <c r="D11" t="s">
        <v>472</v>
      </c>
      <c r="E11" t="s">
        <v>499</v>
      </c>
      <c r="F11">
        <v>0.67</v>
      </c>
      <c r="G11" t="s">
        <v>1019</v>
      </c>
    </row>
    <row r="12" spans="1:7" x14ac:dyDescent="0.3">
      <c r="A12" t="s">
        <v>469</v>
      </c>
      <c r="B12" t="s">
        <v>500</v>
      </c>
      <c r="C12" t="s">
        <v>501</v>
      </c>
      <c r="D12" t="s">
        <v>472</v>
      </c>
      <c r="E12" t="s">
        <v>488</v>
      </c>
      <c r="F12">
        <v>0.95</v>
      </c>
      <c r="G12" t="s">
        <v>1020</v>
      </c>
    </row>
    <row r="13" spans="1:7" x14ac:dyDescent="0.3">
      <c r="A13" t="s">
        <v>469</v>
      </c>
      <c r="B13" t="s">
        <v>502</v>
      </c>
      <c r="C13" t="s">
        <v>503</v>
      </c>
      <c r="D13" t="s">
        <v>472</v>
      </c>
      <c r="E13" t="s">
        <v>504</v>
      </c>
      <c r="F13">
        <v>0.95</v>
      </c>
      <c r="G13" t="s">
        <v>1021</v>
      </c>
    </row>
    <row r="14" spans="1:7" x14ac:dyDescent="0.3">
      <c r="A14" t="s">
        <v>480</v>
      </c>
      <c r="B14" t="s">
        <v>505</v>
      </c>
      <c r="C14" t="s">
        <v>506</v>
      </c>
      <c r="D14" t="s">
        <v>472</v>
      </c>
      <c r="E14" t="s">
        <v>473</v>
      </c>
      <c r="F14">
        <v>0.91</v>
      </c>
      <c r="G14" t="s">
        <v>1022</v>
      </c>
    </row>
    <row r="15" spans="1:7" x14ac:dyDescent="0.3">
      <c r="A15" t="s">
        <v>469</v>
      </c>
      <c r="B15" t="s">
        <v>507</v>
      </c>
      <c r="C15" t="s">
        <v>508</v>
      </c>
      <c r="D15" t="s">
        <v>472</v>
      </c>
      <c r="E15" t="s">
        <v>479</v>
      </c>
      <c r="F15">
        <v>0.9</v>
      </c>
    </row>
    <row r="16" spans="1:7" x14ac:dyDescent="0.3">
      <c r="A16" t="s">
        <v>469</v>
      </c>
      <c r="B16" t="s">
        <v>509</v>
      </c>
      <c r="C16" t="s">
        <v>510</v>
      </c>
      <c r="D16" t="s">
        <v>472</v>
      </c>
      <c r="E16" t="s">
        <v>511</v>
      </c>
      <c r="F16">
        <v>0.64</v>
      </c>
      <c r="G16" t="s">
        <v>1012</v>
      </c>
    </row>
    <row r="17" spans="1:7" x14ac:dyDescent="0.3">
      <c r="A17" t="s">
        <v>469</v>
      </c>
      <c r="B17" t="s">
        <v>512</v>
      </c>
      <c r="C17" t="s">
        <v>513</v>
      </c>
      <c r="D17" t="s">
        <v>472</v>
      </c>
      <c r="E17" t="s">
        <v>514</v>
      </c>
      <c r="F17">
        <v>0.9</v>
      </c>
      <c r="G17" t="s">
        <v>1021</v>
      </c>
    </row>
    <row r="18" spans="1:7" x14ac:dyDescent="0.3">
      <c r="A18" t="s">
        <v>469</v>
      </c>
      <c r="B18" t="s">
        <v>515</v>
      </c>
      <c r="C18" t="s">
        <v>516</v>
      </c>
      <c r="D18" t="s">
        <v>472</v>
      </c>
      <c r="E18" t="s">
        <v>517</v>
      </c>
      <c r="F18">
        <v>0.93</v>
      </c>
      <c r="G18" t="s">
        <v>1011</v>
      </c>
    </row>
    <row r="19" spans="1:7" x14ac:dyDescent="0.3">
      <c r="A19" t="s">
        <v>480</v>
      </c>
      <c r="B19" t="s">
        <v>518</v>
      </c>
      <c r="C19" t="s">
        <v>519</v>
      </c>
      <c r="D19" t="s">
        <v>472</v>
      </c>
      <c r="E19" t="s">
        <v>491</v>
      </c>
      <c r="F19">
        <v>0.88</v>
      </c>
      <c r="G19" t="s">
        <v>1023</v>
      </c>
    </row>
    <row r="20" spans="1:7" x14ac:dyDescent="0.3">
      <c r="A20" t="s">
        <v>469</v>
      </c>
      <c r="B20" t="s">
        <v>520</v>
      </c>
      <c r="C20" t="s">
        <v>521</v>
      </c>
      <c r="D20" t="s">
        <v>472</v>
      </c>
      <c r="E20" t="s">
        <v>522</v>
      </c>
      <c r="F20">
        <v>0.92</v>
      </c>
      <c r="G20" t="s">
        <v>1024</v>
      </c>
    </row>
    <row r="21" spans="1:7" x14ac:dyDescent="0.3">
      <c r="A21" t="s">
        <v>469</v>
      </c>
      <c r="B21" t="s">
        <v>523</v>
      </c>
      <c r="C21" t="s">
        <v>524</v>
      </c>
      <c r="D21" t="s">
        <v>472</v>
      </c>
      <c r="E21" t="s">
        <v>525</v>
      </c>
      <c r="F21">
        <v>0.94</v>
      </c>
      <c r="G21" t="s">
        <v>1025</v>
      </c>
    </row>
    <row r="22" spans="1:7" x14ac:dyDescent="0.3">
      <c r="A22" t="s">
        <v>469</v>
      </c>
      <c r="B22" t="s">
        <v>526</v>
      </c>
      <c r="C22" t="s">
        <v>527</v>
      </c>
      <c r="D22" t="s">
        <v>472</v>
      </c>
      <c r="E22" t="s">
        <v>528</v>
      </c>
    </row>
    <row r="23" spans="1:7" x14ac:dyDescent="0.3">
      <c r="A23" t="s">
        <v>469</v>
      </c>
      <c r="B23" t="s">
        <v>529</v>
      </c>
      <c r="C23" t="s">
        <v>530</v>
      </c>
      <c r="D23" t="s">
        <v>472</v>
      </c>
      <c r="E23" t="s">
        <v>531</v>
      </c>
    </row>
    <row r="24" spans="1:7" x14ac:dyDescent="0.3">
      <c r="A24" t="s">
        <v>469</v>
      </c>
      <c r="B24" t="s">
        <v>532</v>
      </c>
      <c r="C24" t="s">
        <v>533</v>
      </c>
      <c r="D24" t="s">
        <v>472</v>
      </c>
      <c r="E24" t="s">
        <v>488</v>
      </c>
      <c r="F24">
        <v>0.98</v>
      </c>
      <c r="G24" t="s">
        <v>1026</v>
      </c>
    </row>
    <row r="25" spans="1:7" x14ac:dyDescent="0.3">
      <c r="A25" t="s">
        <v>469</v>
      </c>
      <c r="B25" t="s">
        <v>534</v>
      </c>
      <c r="C25" t="s">
        <v>535</v>
      </c>
      <c r="D25" t="s">
        <v>472</v>
      </c>
      <c r="E25" t="s">
        <v>491</v>
      </c>
    </row>
    <row r="26" spans="1:7" x14ac:dyDescent="0.3">
      <c r="A26" t="s">
        <v>469</v>
      </c>
      <c r="B26" t="s">
        <v>536</v>
      </c>
      <c r="C26" t="s">
        <v>537</v>
      </c>
      <c r="D26" t="s">
        <v>472</v>
      </c>
      <c r="E26" t="s">
        <v>538</v>
      </c>
      <c r="F26">
        <v>0.9</v>
      </c>
      <c r="G26" t="s">
        <v>1027</v>
      </c>
    </row>
    <row r="27" spans="1:7" x14ac:dyDescent="0.3">
      <c r="A27" t="s">
        <v>469</v>
      </c>
      <c r="B27" t="s">
        <v>539</v>
      </c>
      <c r="C27" t="s">
        <v>540</v>
      </c>
      <c r="D27" t="s">
        <v>472</v>
      </c>
      <c r="E27" t="s">
        <v>511</v>
      </c>
      <c r="F27">
        <v>0.9</v>
      </c>
      <c r="G27" t="s">
        <v>1028</v>
      </c>
    </row>
    <row r="28" spans="1:7" x14ac:dyDescent="0.3">
      <c r="A28" t="s">
        <v>469</v>
      </c>
      <c r="B28" t="s">
        <v>541</v>
      </c>
      <c r="C28" t="s">
        <v>542</v>
      </c>
      <c r="D28" t="s">
        <v>472</v>
      </c>
      <c r="E28" t="s">
        <v>543</v>
      </c>
    </row>
    <row r="29" spans="1:7" x14ac:dyDescent="0.3">
      <c r="A29" t="s">
        <v>469</v>
      </c>
      <c r="B29" t="s">
        <v>544</v>
      </c>
      <c r="C29" t="s">
        <v>545</v>
      </c>
      <c r="D29" t="s">
        <v>472</v>
      </c>
      <c r="E29" t="s">
        <v>511</v>
      </c>
      <c r="F29">
        <v>0.88</v>
      </c>
      <c r="G29" t="s">
        <v>1029</v>
      </c>
    </row>
    <row r="30" spans="1:7" x14ac:dyDescent="0.3">
      <c r="A30" t="s">
        <v>469</v>
      </c>
      <c r="B30" t="s">
        <v>546</v>
      </c>
      <c r="C30" t="s">
        <v>547</v>
      </c>
      <c r="D30" t="s">
        <v>472</v>
      </c>
      <c r="E30" t="s">
        <v>548</v>
      </c>
      <c r="F30">
        <v>0.91</v>
      </c>
      <c r="G30" t="s">
        <v>1030</v>
      </c>
    </row>
    <row r="31" spans="1:7" x14ac:dyDescent="0.3">
      <c r="A31" t="s">
        <v>469</v>
      </c>
      <c r="B31" t="s">
        <v>549</v>
      </c>
      <c r="C31" t="s">
        <v>550</v>
      </c>
      <c r="D31" t="s">
        <v>472</v>
      </c>
      <c r="E31" t="s">
        <v>551</v>
      </c>
    </row>
    <row r="32" spans="1:7" x14ac:dyDescent="0.3">
      <c r="A32" t="s">
        <v>552</v>
      </c>
      <c r="B32" t="s">
        <v>553</v>
      </c>
      <c r="C32" t="s">
        <v>554</v>
      </c>
      <c r="D32" t="s">
        <v>472</v>
      </c>
      <c r="E32" t="s">
        <v>543</v>
      </c>
      <c r="F32">
        <v>0.67</v>
      </c>
    </row>
    <row r="33" spans="1:7" x14ac:dyDescent="0.3">
      <c r="A33" t="s">
        <v>469</v>
      </c>
      <c r="B33" t="s">
        <v>555</v>
      </c>
      <c r="C33" t="s">
        <v>556</v>
      </c>
      <c r="D33" t="s">
        <v>472</v>
      </c>
      <c r="E33" t="s">
        <v>491</v>
      </c>
    </row>
    <row r="34" spans="1:7" x14ac:dyDescent="0.3">
      <c r="A34" t="s">
        <v>480</v>
      </c>
      <c r="B34" t="s">
        <v>557</v>
      </c>
      <c r="C34" t="s">
        <v>558</v>
      </c>
      <c r="D34" t="s">
        <v>472</v>
      </c>
      <c r="E34" t="s">
        <v>511</v>
      </c>
      <c r="F34">
        <v>0.85</v>
      </c>
      <c r="G34" t="s">
        <v>1031</v>
      </c>
    </row>
    <row r="35" spans="1:7" x14ac:dyDescent="0.3">
      <c r="A35" t="s">
        <v>469</v>
      </c>
      <c r="B35" t="s">
        <v>557</v>
      </c>
      <c r="C35" t="s">
        <v>558</v>
      </c>
      <c r="D35" t="s">
        <v>472</v>
      </c>
      <c r="E35" t="s">
        <v>511</v>
      </c>
      <c r="F35">
        <v>0.97</v>
      </c>
      <c r="G35" t="s">
        <v>1032</v>
      </c>
    </row>
    <row r="36" spans="1:7" x14ac:dyDescent="0.3">
      <c r="A36" t="s">
        <v>469</v>
      </c>
      <c r="B36" t="s">
        <v>559</v>
      </c>
      <c r="C36" t="s">
        <v>560</v>
      </c>
      <c r="D36" t="s">
        <v>472</v>
      </c>
      <c r="E36" t="s">
        <v>551</v>
      </c>
      <c r="F36">
        <v>0.89</v>
      </c>
      <c r="G36" t="s">
        <v>1016</v>
      </c>
    </row>
    <row r="37" spans="1:7" x14ac:dyDescent="0.3">
      <c r="A37" t="s">
        <v>469</v>
      </c>
      <c r="B37" t="s">
        <v>561</v>
      </c>
      <c r="C37" t="s">
        <v>562</v>
      </c>
      <c r="D37" t="s">
        <v>472</v>
      </c>
      <c r="E37" t="s">
        <v>563</v>
      </c>
      <c r="F37">
        <v>0.92</v>
      </c>
      <c r="G37" t="s">
        <v>1024</v>
      </c>
    </row>
    <row r="38" spans="1:7" x14ac:dyDescent="0.3">
      <c r="A38" t="s">
        <v>469</v>
      </c>
      <c r="B38" t="s">
        <v>564</v>
      </c>
      <c r="C38" t="s">
        <v>565</v>
      </c>
      <c r="D38" t="s">
        <v>472</v>
      </c>
      <c r="E38" t="s">
        <v>566</v>
      </c>
      <c r="F38">
        <v>0.85</v>
      </c>
      <c r="G38" t="s">
        <v>1024</v>
      </c>
    </row>
    <row r="39" spans="1:7" x14ac:dyDescent="0.3">
      <c r="A39" t="s">
        <v>552</v>
      </c>
      <c r="B39" t="s">
        <v>567</v>
      </c>
      <c r="C39" t="s">
        <v>568</v>
      </c>
      <c r="D39" t="s">
        <v>472</v>
      </c>
      <c r="E39" t="s">
        <v>504</v>
      </c>
      <c r="F39">
        <v>0.57999999999999996</v>
      </c>
      <c r="G39" t="s">
        <v>1033</v>
      </c>
    </row>
    <row r="40" spans="1:7" x14ac:dyDescent="0.3">
      <c r="A40" t="s">
        <v>469</v>
      </c>
      <c r="B40" t="s">
        <v>569</v>
      </c>
      <c r="C40" t="s">
        <v>570</v>
      </c>
      <c r="D40" t="s">
        <v>472</v>
      </c>
      <c r="E40" t="s">
        <v>491</v>
      </c>
      <c r="F40">
        <v>1</v>
      </c>
      <c r="G40" t="s">
        <v>1014</v>
      </c>
    </row>
    <row r="41" spans="1:7" x14ac:dyDescent="0.3">
      <c r="A41" t="s">
        <v>480</v>
      </c>
      <c r="B41" t="s">
        <v>571</v>
      </c>
      <c r="C41" t="s">
        <v>572</v>
      </c>
      <c r="D41" t="s">
        <v>472</v>
      </c>
      <c r="E41" t="s">
        <v>573</v>
      </c>
      <c r="F41">
        <v>0.91</v>
      </c>
      <c r="G41" t="s">
        <v>1025</v>
      </c>
    </row>
    <row r="42" spans="1:7" x14ac:dyDescent="0.3">
      <c r="A42" t="s">
        <v>469</v>
      </c>
      <c r="B42" t="s">
        <v>571</v>
      </c>
      <c r="C42" t="s">
        <v>572</v>
      </c>
      <c r="D42" t="s">
        <v>472</v>
      </c>
      <c r="E42" t="s">
        <v>573</v>
      </c>
      <c r="F42">
        <v>0.83</v>
      </c>
      <c r="G42" t="s">
        <v>1025</v>
      </c>
    </row>
    <row r="43" spans="1:7" x14ac:dyDescent="0.3">
      <c r="A43" t="s">
        <v>469</v>
      </c>
      <c r="B43" t="s">
        <v>574</v>
      </c>
      <c r="C43" t="s">
        <v>575</v>
      </c>
      <c r="D43" t="s">
        <v>472</v>
      </c>
      <c r="E43" t="s">
        <v>476</v>
      </c>
      <c r="F43">
        <v>0.92</v>
      </c>
      <c r="G43" t="s">
        <v>1030</v>
      </c>
    </row>
    <row r="44" spans="1:7" x14ac:dyDescent="0.3">
      <c r="A44" t="s">
        <v>469</v>
      </c>
      <c r="B44" t="s">
        <v>576</v>
      </c>
      <c r="C44" t="s">
        <v>577</v>
      </c>
      <c r="D44" t="s">
        <v>472</v>
      </c>
      <c r="E44" t="s">
        <v>504</v>
      </c>
      <c r="F44">
        <v>0.92</v>
      </c>
      <c r="G44" t="s">
        <v>1034</v>
      </c>
    </row>
    <row r="45" spans="1:7" x14ac:dyDescent="0.3">
      <c r="A45" t="s">
        <v>469</v>
      </c>
      <c r="B45" t="s">
        <v>578</v>
      </c>
      <c r="C45" t="s">
        <v>579</v>
      </c>
      <c r="D45" t="s">
        <v>472</v>
      </c>
      <c r="E45" t="s">
        <v>494</v>
      </c>
      <c r="F45">
        <v>0.98</v>
      </c>
      <c r="G45" t="s">
        <v>1035</v>
      </c>
    </row>
    <row r="46" spans="1:7" x14ac:dyDescent="0.3">
      <c r="A46" t="s">
        <v>469</v>
      </c>
      <c r="B46" t="s">
        <v>580</v>
      </c>
      <c r="C46" t="s">
        <v>581</v>
      </c>
      <c r="D46" t="s">
        <v>472</v>
      </c>
      <c r="E46" t="s">
        <v>485</v>
      </c>
      <c r="F46">
        <v>1</v>
      </c>
    </row>
    <row r="47" spans="1:7" x14ac:dyDescent="0.3">
      <c r="A47" t="s">
        <v>469</v>
      </c>
      <c r="B47" t="s">
        <v>582</v>
      </c>
      <c r="C47" t="s">
        <v>583</v>
      </c>
      <c r="D47" t="s">
        <v>472</v>
      </c>
      <c r="E47" t="s">
        <v>494</v>
      </c>
      <c r="F47">
        <v>0.99</v>
      </c>
      <c r="G47" t="s">
        <v>1028</v>
      </c>
    </row>
    <row r="48" spans="1:7" x14ac:dyDescent="0.3">
      <c r="A48" t="s">
        <v>584</v>
      </c>
      <c r="B48" t="s">
        <v>585</v>
      </c>
      <c r="C48" t="s">
        <v>586</v>
      </c>
      <c r="D48" t="s">
        <v>472</v>
      </c>
      <c r="E48" t="s">
        <v>504</v>
      </c>
      <c r="F48">
        <v>0.7</v>
      </c>
      <c r="G48" t="s">
        <v>1031</v>
      </c>
    </row>
    <row r="49" spans="1:7" x14ac:dyDescent="0.3">
      <c r="A49" t="s">
        <v>469</v>
      </c>
      <c r="B49" t="s">
        <v>585</v>
      </c>
      <c r="C49" t="s">
        <v>586</v>
      </c>
      <c r="D49" t="s">
        <v>472</v>
      </c>
      <c r="E49" t="s">
        <v>504</v>
      </c>
      <c r="F49">
        <v>0.77</v>
      </c>
    </row>
    <row r="50" spans="1:7" x14ac:dyDescent="0.3">
      <c r="A50" t="s">
        <v>584</v>
      </c>
      <c r="B50" t="s">
        <v>587</v>
      </c>
      <c r="C50" t="s">
        <v>588</v>
      </c>
      <c r="D50" t="s">
        <v>472</v>
      </c>
      <c r="E50" t="s">
        <v>543</v>
      </c>
      <c r="F50">
        <v>0.92</v>
      </c>
      <c r="G50" t="s">
        <v>1036</v>
      </c>
    </row>
    <row r="51" spans="1:7" x14ac:dyDescent="0.3">
      <c r="A51" t="s">
        <v>480</v>
      </c>
      <c r="B51" t="s">
        <v>589</v>
      </c>
      <c r="C51" t="s">
        <v>590</v>
      </c>
      <c r="D51" t="s">
        <v>472</v>
      </c>
      <c r="E51" t="s">
        <v>591</v>
      </c>
      <c r="F51">
        <v>0.72</v>
      </c>
      <c r="G51" t="s">
        <v>1037</v>
      </c>
    </row>
    <row r="52" spans="1:7" x14ac:dyDescent="0.3">
      <c r="A52" t="s">
        <v>469</v>
      </c>
      <c r="B52" t="s">
        <v>592</v>
      </c>
      <c r="C52" t="s">
        <v>593</v>
      </c>
      <c r="D52" t="s">
        <v>472</v>
      </c>
      <c r="E52" t="s">
        <v>504</v>
      </c>
      <c r="F52">
        <v>0.98</v>
      </c>
      <c r="G52" t="s">
        <v>1025</v>
      </c>
    </row>
    <row r="53" spans="1:7" x14ac:dyDescent="0.3">
      <c r="A53" t="s">
        <v>469</v>
      </c>
      <c r="B53" t="s">
        <v>594</v>
      </c>
      <c r="C53" t="s">
        <v>595</v>
      </c>
      <c r="D53" t="s">
        <v>472</v>
      </c>
      <c r="E53" t="s">
        <v>566</v>
      </c>
      <c r="F53">
        <v>0.97</v>
      </c>
      <c r="G53" t="s">
        <v>1024</v>
      </c>
    </row>
    <row r="54" spans="1:7" x14ac:dyDescent="0.3">
      <c r="A54" t="s">
        <v>469</v>
      </c>
      <c r="B54" t="s">
        <v>596</v>
      </c>
      <c r="C54" t="s">
        <v>597</v>
      </c>
      <c r="D54" t="s">
        <v>472</v>
      </c>
      <c r="E54" t="s">
        <v>485</v>
      </c>
      <c r="F54">
        <v>0.86</v>
      </c>
      <c r="G54" t="s">
        <v>1029</v>
      </c>
    </row>
    <row r="55" spans="1:7" x14ac:dyDescent="0.3">
      <c r="A55" t="s">
        <v>469</v>
      </c>
      <c r="B55" t="s">
        <v>598</v>
      </c>
      <c r="C55" t="s">
        <v>599</v>
      </c>
      <c r="D55" t="s">
        <v>472</v>
      </c>
      <c r="E55" t="s">
        <v>531</v>
      </c>
      <c r="F55">
        <v>0.78</v>
      </c>
      <c r="G55" t="s">
        <v>1012</v>
      </c>
    </row>
    <row r="56" spans="1:7" x14ac:dyDescent="0.3">
      <c r="A56" t="s">
        <v>469</v>
      </c>
      <c r="B56" t="s">
        <v>600</v>
      </c>
      <c r="C56" t="s">
        <v>601</v>
      </c>
      <c r="D56" t="s">
        <v>472</v>
      </c>
      <c r="E56" t="s">
        <v>566</v>
      </c>
      <c r="F56">
        <v>0.42</v>
      </c>
    </row>
    <row r="57" spans="1:7" x14ac:dyDescent="0.3">
      <c r="A57" t="s">
        <v>469</v>
      </c>
      <c r="B57" t="s">
        <v>602</v>
      </c>
      <c r="C57" t="s">
        <v>603</v>
      </c>
      <c r="D57" t="s">
        <v>472</v>
      </c>
      <c r="E57" t="s">
        <v>488</v>
      </c>
      <c r="F57">
        <v>0.67</v>
      </c>
      <c r="G57" t="s">
        <v>1032</v>
      </c>
    </row>
    <row r="58" spans="1:7" x14ac:dyDescent="0.3">
      <c r="A58" t="s">
        <v>469</v>
      </c>
      <c r="B58" t="s">
        <v>604</v>
      </c>
      <c r="C58" t="s">
        <v>605</v>
      </c>
      <c r="D58" t="s">
        <v>472</v>
      </c>
      <c r="E58" t="s">
        <v>606</v>
      </c>
      <c r="F58">
        <v>0.94</v>
      </c>
      <c r="G58" t="s">
        <v>1011</v>
      </c>
    </row>
    <row r="59" spans="1:7" x14ac:dyDescent="0.3">
      <c r="A59" t="s">
        <v>469</v>
      </c>
      <c r="B59" t="s">
        <v>607</v>
      </c>
      <c r="C59" t="s">
        <v>608</v>
      </c>
      <c r="D59" t="s">
        <v>472</v>
      </c>
      <c r="E59" t="s">
        <v>485</v>
      </c>
      <c r="F59">
        <v>0.72</v>
      </c>
      <c r="G59" t="s">
        <v>1020</v>
      </c>
    </row>
    <row r="60" spans="1:7" x14ac:dyDescent="0.3">
      <c r="A60" t="s">
        <v>480</v>
      </c>
      <c r="B60" t="s">
        <v>609</v>
      </c>
      <c r="C60" t="s">
        <v>610</v>
      </c>
      <c r="D60" t="s">
        <v>472</v>
      </c>
      <c r="E60" t="s">
        <v>543</v>
      </c>
      <c r="F60">
        <v>0.9</v>
      </c>
      <c r="G60" t="s">
        <v>1038</v>
      </c>
    </row>
    <row r="61" spans="1:7" x14ac:dyDescent="0.3">
      <c r="A61" t="s">
        <v>552</v>
      </c>
      <c r="B61" t="s">
        <v>611</v>
      </c>
      <c r="C61" t="s">
        <v>554</v>
      </c>
      <c r="D61" t="s">
        <v>472</v>
      </c>
    </row>
    <row r="62" spans="1:7" x14ac:dyDescent="0.3">
      <c r="A62" t="s">
        <v>469</v>
      </c>
      <c r="B62" t="s">
        <v>612</v>
      </c>
      <c r="C62" t="s">
        <v>613</v>
      </c>
      <c r="D62" t="s">
        <v>472</v>
      </c>
      <c r="E62" t="s">
        <v>614</v>
      </c>
      <c r="F62">
        <v>0.44</v>
      </c>
      <c r="G62" t="s">
        <v>1015</v>
      </c>
    </row>
    <row r="63" spans="1:7" x14ac:dyDescent="0.3">
      <c r="A63" t="s">
        <v>480</v>
      </c>
      <c r="B63" t="s">
        <v>615</v>
      </c>
      <c r="C63" t="s">
        <v>616</v>
      </c>
      <c r="D63" t="s">
        <v>472</v>
      </c>
      <c r="E63" t="s">
        <v>517</v>
      </c>
      <c r="F63">
        <v>0.91</v>
      </c>
      <c r="G63" t="s">
        <v>1039</v>
      </c>
    </row>
    <row r="64" spans="1:7" x14ac:dyDescent="0.3">
      <c r="A64" t="s">
        <v>469</v>
      </c>
      <c r="B64" t="s">
        <v>617</v>
      </c>
      <c r="C64" t="s">
        <v>618</v>
      </c>
      <c r="D64" t="s">
        <v>472</v>
      </c>
      <c r="E64" t="s">
        <v>619</v>
      </c>
      <c r="F64">
        <v>0.88</v>
      </c>
      <c r="G64" t="s">
        <v>1015</v>
      </c>
    </row>
    <row r="65" spans="1:7" x14ac:dyDescent="0.3">
      <c r="A65" t="s">
        <v>469</v>
      </c>
      <c r="B65" t="s">
        <v>620</v>
      </c>
      <c r="C65" t="s">
        <v>621</v>
      </c>
      <c r="D65" t="s">
        <v>472</v>
      </c>
      <c r="E65" t="s">
        <v>525</v>
      </c>
    </row>
    <row r="66" spans="1:7" x14ac:dyDescent="0.3">
      <c r="A66" t="s">
        <v>469</v>
      </c>
      <c r="B66" t="s">
        <v>622</v>
      </c>
      <c r="C66" t="s">
        <v>623</v>
      </c>
      <c r="D66" t="s">
        <v>472</v>
      </c>
      <c r="E66" t="s">
        <v>531</v>
      </c>
      <c r="F66">
        <v>0.98</v>
      </c>
      <c r="G66" t="s">
        <v>1040</v>
      </c>
    </row>
    <row r="67" spans="1:7" x14ac:dyDescent="0.3">
      <c r="A67" t="s">
        <v>469</v>
      </c>
      <c r="B67" t="s">
        <v>624</v>
      </c>
      <c r="C67" t="s">
        <v>625</v>
      </c>
      <c r="D67" t="s">
        <v>472</v>
      </c>
      <c r="E67" t="s">
        <v>504</v>
      </c>
      <c r="F67">
        <v>0.99</v>
      </c>
      <c r="G67" t="s">
        <v>1025</v>
      </c>
    </row>
    <row r="68" spans="1:7" x14ac:dyDescent="0.3">
      <c r="A68" t="s">
        <v>552</v>
      </c>
      <c r="B68" t="s">
        <v>626</v>
      </c>
      <c r="C68" t="s">
        <v>627</v>
      </c>
      <c r="D68" t="s">
        <v>472</v>
      </c>
      <c r="E68" t="s">
        <v>525</v>
      </c>
      <c r="F68">
        <v>0.7</v>
      </c>
      <c r="G68" t="s">
        <v>1037</v>
      </c>
    </row>
    <row r="69" spans="1:7" x14ac:dyDescent="0.3">
      <c r="A69" t="s">
        <v>469</v>
      </c>
      <c r="B69" t="s">
        <v>628</v>
      </c>
      <c r="C69" t="s">
        <v>629</v>
      </c>
      <c r="D69" t="s">
        <v>472</v>
      </c>
      <c r="E69" t="s">
        <v>630</v>
      </c>
      <c r="F69">
        <v>0.48</v>
      </c>
      <c r="G69" t="s">
        <v>1041</v>
      </c>
    </row>
    <row r="70" spans="1:7" x14ac:dyDescent="0.3">
      <c r="A70" t="s">
        <v>480</v>
      </c>
      <c r="B70" t="s">
        <v>631</v>
      </c>
      <c r="C70" t="s">
        <v>632</v>
      </c>
      <c r="D70" t="s">
        <v>472</v>
      </c>
      <c r="E70" t="s">
        <v>476</v>
      </c>
      <c r="F70">
        <v>0.91</v>
      </c>
      <c r="G70" t="s">
        <v>1037</v>
      </c>
    </row>
    <row r="71" spans="1:7" x14ac:dyDescent="0.3">
      <c r="A71" t="s">
        <v>469</v>
      </c>
      <c r="B71" t="s">
        <v>633</v>
      </c>
      <c r="C71" t="s">
        <v>634</v>
      </c>
      <c r="D71" t="s">
        <v>472</v>
      </c>
      <c r="E71" t="s">
        <v>488</v>
      </c>
      <c r="F71">
        <v>0.56000000000000005</v>
      </c>
    </row>
    <row r="72" spans="1:7" x14ac:dyDescent="0.3">
      <c r="A72" t="s">
        <v>469</v>
      </c>
      <c r="B72" t="s">
        <v>635</v>
      </c>
      <c r="C72" t="s">
        <v>636</v>
      </c>
      <c r="D72" t="s">
        <v>472</v>
      </c>
      <c r="E72" t="s">
        <v>630</v>
      </c>
      <c r="F72">
        <v>0.82</v>
      </c>
    </row>
    <row r="73" spans="1:7" x14ac:dyDescent="0.3">
      <c r="A73" t="s">
        <v>469</v>
      </c>
      <c r="B73" t="s">
        <v>637</v>
      </c>
      <c r="C73" t="s">
        <v>638</v>
      </c>
      <c r="D73" t="s">
        <v>472</v>
      </c>
      <c r="E73" t="s">
        <v>563</v>
      </c>
    </row>
    <row r="74" spans="1:7" x14ac:dyDescent="0.3">
      <c r="A74" t="s">
        <v>469</v>
      </c>
      <c r="B74" t="s">
        <v>639</v>
      </c>
      <c r="C74" t="s">
        <v>640</v>
      </c>
      <c r="D74" t="s">
        <v>472</v>
      </c>
      <c r="E74" t="s">
        <v>494</v>
      </c>
    </row>
    <row r="75" spans="1:7" x14ac:dyDescent="0.3">
      <c r="A75" t="s">
        <v>469</v>
      </c>
      <c r="B75" t="s">
        <v>641</v>
      </c>
      <c r="C75" t="s">
        <v>642</v>
      </c>
      <c r="D75" t="s">
        <v>472</v>
      </c>
      <c r="E75" t="s">
        <v>573</v>
      </c>
      <c r="F75">
        <v>0.85</v>
      </c>
      <c r="G75" t="s">
        <v>1026</v>
      </c>
    </row>
    <row r="76" spans="1:7" x14ac:dyDescent="0.3">
      <c r="A76" t="s">
        <v>469</v>
      </c>
      <c r="B76" t="s">
        <v>643</v>
      </c>
      <c r="C76" t="s">
        <v>644</v>
      </c>
      <c r="D76" t="s">
        <v>472</v>
      </c>
      <c r="E76" t="s">
        <v>606</v>
      </c>
      <c r="F76">
        <v>0.69</v>
      </c>
      <c r="G76" t="s">
        <v>1026</v>
      </c>
    </row>
    <row r="77" spans="1:7" x14ac:dyDescent="0.3">
      <c r="A77" t="s">
        <v>469</v>
      </c>
      <c r="B77" t="s">
        <v>645</v>
      </c>
      <c r="C77" t="s">
        <v>646</v>
      </c>
      <c r="D77" t="s">
        <v>472</v>
      </c>
      <c r="E77" t="s">
        <v>485</v>
      </c>
      <c r="F77">
        <v>0.98</v>
      </c>
      <c r="G77" t="s">
        <v>1026</v>
      </c>
    </row>
    <row r="78" spans="1:7" x14ac:dyDescent="0.3">
      <c r="A78" t="s">
        <v>469</v>
      </c>
      <c r="B78" t="s">
        <v>647</v>
      </c>
      <c r="C78" t="s">
        <v>648</v>
      </c>
      <c r="D78" t="s">
        <v>472</v>
      </c>
      <c r="E78" t="s">
        <v>649</v>
      </c>
      <c r="F78">
        <v>0.97</v>
      </c>
    </row>
    <row r="79" spans="1:7" x14ac:dyDescent="0.3">
      <c r="A79" t="s">
        <v>469</v>
      </c>
      <c r="B79" t="s">
        <v>650</v>
      </c>
      <c r="C79" t="s">
        <v>651</v>
      </c>
      <c r="D79" t="s">
        <v>472</v>
      </c>
      <c r="E79" t="s">
        <v>652</v>
      </c>
      <c r="F79">
        <v>0.55000000000000004</v>
      </c>
    </row>
    <row r="80" spans="1:7" x14ac:dyDescent="0.3">
      <c r="A80" t="s">
        <v>469</v>
      </c>
      <c r="B80" t="s">
        <v>653</v>
      </c>
      <c r="C80" t="s">
        <v>654</v>
      </c>
      <c r="D80" t="s">
        <v>472</v>
      </c>
      <c r="E80" t="s">
        <v>543</v>
      </c>
      <c r="F80">
        <v>0.84</v>
      </c>
      <c r="G80" t="s">
        <v>1042</v>
      </c>
    </row>
    <row r="81" spans="1:7" x14ac:dyDescent="0.3">
      <c r="A81" t="s">
        <v>469</v>
      </c>
      <c r="B81" t="s">
        <v>655</v>
      </c>
      <c r="C81" t="s">
        <v>656</v>
      </c>
      <c r="D81" t="s">
        <v>472</v>
      </c>
      <c r="E81" t="s">
        <v>649</v>
      </c>
      <c r="F81">
        <v>0.93</v>
      </c>
      <c r="G81" t="s">
        <v>1012</v>
      </c>
    </row>
    <row r="82" spans="1:7" x14ac:dyDescent="0.3">
      <c r="A82" t="s">
        <v>469</v>
      </c>
      <c r="B82" t="s">
        <v>657</v>
      </c>
      <c r="C82" t="s">
        <v>658</v>
      </c>
      <c r="D82" t="s">
        <v>472</v>
      </c>
      <c r="E82" t="s">
        <v>659</v>
      </c>
    </row>
    <row r="83" spans="1:7" x14ac:dyDescent="0.3">
      <c r="A83" t="s">
        <v>480</v>
      </c>
      <c r="B83" t="s">
        <v>660</v>
      </c>
      <c r="C83" t="s">
        <v>661</v>
      </c>
      <c r="D83" t="s">
        <v>472</v>
      </c>
      <c r="E83" t="s">
        <v>662</v>
      </c>
      <c r="F83">
        <v>0.53</v>
      </c>
      <c r="G83" t="s">
        <v>1043</v>
      </c>
    </row>
    <row r="84" spans="1:7" x14ac:dyDescent="0.3">
      <c r="A84" t="s">
        <v>469</v>
      </c>
      <c r="B84" t="s">
        <v>663</v>
      </c>
      <c r="C84" t="s">
        <v>664</v>
      </c>
      <c r="D84" t="s">
        <v>472</v>
      </c>
      <c r="E84" t="s">
        <v>485</v>
      </c>
      <c r="F84">
        <v>0.73</v>
      </c>
      <c r="G84" t="s">
        <v>1044</v>
      </c>
    </row>
    <row r="85" spans="1:7" x14ac:dyDescent="0.3">
      <c r="A85" t="s">
        <v>469</v>
      </c>
      <c r="B85" t="s">
        <v>665</v>
      </c>
      <c r="C85" t="s">
        <v>666</v>
      </c>
      <c r="D85" t="s">
        <v>472</v>
      </c>
      <c r="E85" t="s">
        <v>591</v>
      </c>
      <c r="F85">
        <v>0.83</v>
      </c>
    </row>
    <row r="86" spans="1:7" x14ac:dyDescent="0.3">
      <c r="A86" t="s">
        <v>469</v>
      </c>
      <c r="B86" t="s">
        <v>667</v>
      </c>
      <c r="C86" t="s">
        <v>668</v>
      </c>
      <c r="D86" t="s">
        <v>472</v>
      </c>
      <c r="E86" t="s">
        <v>491</v>
      </c>
      <c r="F86">
        <v>0.99</v>
      </c>
      <c r="G86" t="s">
        <v>1014</v>
      </c>
    </row>
    <row r="87" spans="1:7" x14ac:dyDescent="0.3">
      <c r="A87" t="s">
        <v>469</v>
      </c>
      <c r="B87" t="s">
        <v>669</v>
      </c>
      <c r="C87" t="s">
        <v>670</v>
      </c>
      <c r="D87" t="s">
        <v>472</v>
      </c>
      <c r="E87" t="s">
        <v>649</v>
      </c>
      <c r="F87">
        <v>0.94</v>
      </c>
      <c r="G87" t="s">
        <v>1045</v>
      </c>
    </row>
    <row r="88" spans="1:7" x14ac:dyDescent="0.3">
      <c r="A88" t="s">
        <v>469</v>
      </c>
      <c r="B88" t="s">
        <v>671</v>
      </c>
      <c r="C88" t="s">
        <v>672</v>
      </c>
      <c r="D88" t="s">
        <v>472</v>
      </c>
      <c r="E88" t="s">
        <v>476</v>
      </c>
      <c r="F88">
        <v>0.97</v>
      </c>
      <c r="G88" t="s">
        <v>1011</v>
      </c>
    </row>
    <row r="89" spans="1:7" x14ac:dyDescent="0.3">
      <c r="A89" t="s">
        <v>469</v>
      </c>
      <c r="B89" t="s">
        <v>673</v>
      </c>
      <c r="C89" t="s">
        <v>674</v>
      </c>
      <c r="D89" t="s">
        <v>472</v>
      </c>
      <c r="E89" t="s">
        <v>531</v>
      </c>
      <c r="F89">
        <v>0.88</v>
      </c>
      <c r="G89" t="s">
        <v>1012</v>
      </c>
    </row>
    <row r="90" spans="1:7" x14ac:dyDescent="0.3">
      <c r="A90" t="s">
        <v>469</v>
      </c>
      <c r="B90" t="s">
        <v>675</v>
      </c>
      <c r="C90" t="s">
        <v>676</v>
      </c>
      <c r="D90" t="s">
        <v>472</v>
      </c>
      <c r="E90" t="s">
        <v>485</v>
      </c>
      <c r="F90">
        <v>0.97</v>
      </c>
      <c r="G90" t="s">
        <v>1015</v>
      </c>
    </row>
    <row r="91" spans="1:7" x14ac:dyDescent="0.3">
      <c r="A91" t="s">
        <v>469</v>
      </c>
      <c r="B91" t="s">
        <v>677</v>
      </c>
      <c r="C91" t="s">
        <v>678</v>
      </c>
      <c r="D91" t="s">
        <v>472</v>
      </c>
      <c r="E91" t="s">
        <v>591</v>
      </c>
      <c r="F91">
        <v>0.97</v>
      </c>
      <c r="G91" t="s">
        <v>1011</v>
      </c>
    </row>
    <row r="92" spans="1:7" x14ac:dyDescent="0.3">
      <c r="A92" t="s">
        <v>469</v>
      </c>
      <c r="B92" t="s">
        <v>679</v>
      </c>
      <c r="C92" t="s">
        <v>680</v>
      </c>
      <c r="D92" t="s">
        <v>472</v>
      </c>
      <c r="E92" t="s">
        <v>681</v>
      </c>
      <c r="F92">
        <v>0.97</v>
      </c>
      <c r="G92" t="s">
        <v>1046</v>
      </c>
    </row>
    <row r="93" spans="1:7" x14ac:dyDescent="0.3">
      <c r="A93" t="s">
        <v>469</v>
      </c>
      <c r="B93" t="s">
        <v>682</v>
      </c>
      <c r="C93" t="s">
        <v>683</v>
      </c>
      <c r="D93" t="s">
        <v>472</v>
      </c>
      <c r="E93" t="s">
        <v>504</v>
      </c>
      <c r="F93">
        <v>0.99</v>
      </c>
      <c r="G93" t="s">
        <v>1018</v>
      </c>
    </row>
    <row r="94" spans="1:7" x14ac:dyDescent="0.3">
      <c r="A94" t="s">
        <v>684</v>
      </c>
      <c r="B94" t="s">
        <v>685</v>
      </c>
      <c r="C94" t="s">
        <v>686</v>
      </c>
      <c r="D94" t="s">
        <v>472</v>
      </c>
      <c r="E94" t="s">
        <v>494</v>
      </c>
      <c r="F94">
        <v>0.22</v>
      </c>
    </row>
    <row r="95" spans="1:7" x14ac:dyDescent="0.3">
      <c r="A95" t="s">
        <v>469</v>
      </c>
      <c r="B95" t="s">
        <v>687</v>
      </c>
      <c r="C95" t="s">
        <v>688</v>
      </c>
      <c r="D95" t="s">
        <v>472</v>
      </c>
      <c r="E95" t="s">
        <v>528</v>
      </c>
      <c r="F95">
        <v>0.89</v>
      </c>
      <c r="G95" t="s">
        <v>1035</v>
      </c>
    </row>
    <row r="96" spans="1:7" x14ac:dyDescent="0.3">
      <c r="A96" t="s">
        <v>480</v>
      </c>
      <c r="B96" t="s">
        <v>689</v>
      </c>
      <c r="C96" t="s">
        <v>690</v>
      </c>
      <c r="D96" t="s">
        <v>472</v>
      </c>
      <c r="E96" t="s">
        <v>476</v>
      </c>
      <c r="F96">
        <v>0.84</v>
      </c>
      <c r="G96" t="s">
        <v>1047</v>
      </c>
    </row>
    <row r="97" spans="1:7" x14ac:dyDescent="0.3">
      <c r="A97" t="s">
        <v>469</v>
      </c>
      <c r="B97" t="s">
        <v>691</v>
      </c>
      <c r="C97" t="s">
        <v>692</v>
      </c>
      <c r="D97" t="s">
        <v>472</v>
      </c>
      <c r="E97" t="s">
        <v>525</v>
      </c>
      <c r="F97">
        <v>0.86</v>
      </c>
      <c r="G97" t="s">
        <v>1011</v>
      </c>
    </row>
    <row r="98" spans="1:7" x14ac:dyDescent="0.3">
      <c r="A98" t="s">
        <v>469</v>
      </c>
      <c r="B98" t="s">
        <v>693</v>
      </c>
      <c r="C98" t="s">
        <v>694</v>
      </c>
      <c r="D98" t="s">
        <v>472</v>
      </c>
      <c r="E98" t="s">
        <v>695</v>
      </c>
    </row>
    <row r="99" spans="1:7" x14ac:dyDescent="0.3">
      <c r="A99" t="s">
        <v>469</v>
      </c>
      <c r="B99" t="s">
        <v>696</v>
      </c>
      <c r="C99" t="s">
        <v>697</v>
      </c>
      <c r="D99" t="s">
        <v>472</v>
      </c>
      <c r="E99" t="s">
        <v>698</v>
      </c>
      <c r="F99">
        <v>0.93</v>
      </c>
      <c r="G99" t="s">
        <v>1035</v>
      </c>
    </row>
    <row r="100" spans="1:7" x14ac:dyDescent="0.3">
      <c r="A100" t="s">
        <v>469</v>
      </c>
      <c r="B100" t="s">
        <v>699</v>
      </c>
      <c r="C100" t="s">
        <v>700</v>
      </c>
      <c r="D100" t="s">
        <v>472</v>
      </c>
      <c r="E100" t="s">
        <v>701</v>
      </c>
    </row>
    <row r="101" spans="1:7" x14ac:dyDescent="0.3">
      <c r="A101" t="s">
        <v>469</v>
      </c>
      <c r="B101" t="s">
        <v>702</v>
      </c>
      <c r="C101" t="s">
        <v>703</v>
      </c>
      <c r="D101" t="s">
        <v>472</v>
      </c>
      <c r="E101" t="s">
        <v>531</v>
      </c>
      <c r="F101">
        <v>0.93</v>
      </c>
    </row>
    <row r="102" spans="1:7" x14ac:dyDescent="0.3">
      <c r="A102" t="s">
        <v>469</v>
      </c>
      <c r="B102" t="s">
        <v>704</v>
      </c>
      <c r="C102" t="s">
        <v>705</v>
      </c>
      <c r="D102" t="s">
        <v>472</v>
      </c>
      <c r="E102" t="s">
        <v>491</v>
      </c>
      <c r="F102">
        <v>0.98</v>
      </c>
      <c r="G102" t="s">
        <v>1046</v>
      </c>
    </row>
    <row r="103" spans="1:7" x14ac:dyDescent="0.3">
      <c r="A103" t="s">
        <v>469</v>
      </c>
      <c r="B103" t="s">
        <v>706</v>
      </c>
      <c r="C103" t="s">
        <v>707</v>
      </c>
      <c r="D103" t="s">
        <v>472</v>
      </c>
      <c r="E103" t="s">
        <v>473</v>
      </c>
      <c r="F103">
        <v>0.86</v>
      </c>
      <c r="G103" t="s">
        <v>1024</v>
      </c>
    </row>
    <row r="104" spans="1:7" x14ac:dyDescent="0.3">
      <c r="A104" t="s">
        <v>469</v>
      </c>
      <c r="B104" t="s">
        <v>708</v>
      </c>
      <c r="C104" t="s">
        <v>709</v>
      </c>
      <c r="D104" t="s">
        <v>472</v>
      </c>
      <c r="E104" t="s">
        <v>566</v>
      </c>
      <c r="F104">
        <v>0.39</v>
      </c>
      <c r="G104" t="s">
        <v>1048</v>
      </c>
    </row>
    <row r="105" spans="1:7" x14ac:dyDescent="0.3">
      <c r="A105" t="s">
        <v>480</v>
      </c>
      <c r="B105" t="s">
        <v>710</v>
      </c>
      <c r="C105" t="s">
        <v>711</v>
      </c>
      <c r="D105" t="s">
        <v>472</v>
      </c>
      <c r="E105" t="s">
        <v>591</v>
      </c>
      <c r="F105">
        <v>0.92</v>
      </c>
      <c r="G105" t="s">
        <v>1049</v>
      </c>
    </row>
    <row r="106" spans="1:7" x14ac:dyDescent="0.3">
      <c r="A106" t="s">
        <v>469</v>
      </c>
      <c r="B106" t="s">
        <v>712</v>
      </c>
      <c r="C106" t="s">
        <v>713</v>
      </c>
      <c r="D106" t="s">
        <v>472</v>
      </c>
      <c r="E106" t="s">
        <v>649</v>
      </c>
      <c r="F106">
        <v>0.82</v>
      </c>
    </row>
    <row r="107" spans="1:7" x14ac:dyDescent="0.3">
      <c r="A107" t="s">
        <v>469</v>
      </c>
      <c r="B107" t="s">
        <v>714</v>
      </c>
      <c r="C107" t="s">
        <v>715</v>
      </c>
      <c r="D107" t="s">
        <v>472</v>
      </c>
      <c r="E107" t="s">
        <v>485</v>
      </c>
      <c r="F107">
        <v>0.98</v>
      </c>
      <c r="G107" t="s">
        <v>1050</v>
      </c>
    </row>
    <row r="108" spans="1:7" x14ac:dyDescent="0.3">
      <c r="A108" t="s">
        <v>469</v>
      </c>
      <c r="B108" t="s">
        <v>716</v>
      </c>
      <c r="C108" t="s">
        <v>717</v>
      </c>
      <c r="D108" t="s">
        <v>472</v>
      </c>
      <c r="E108" t="s">
        <v>531</v>
      </c>
      <c r="F108">
        <v>0.76</v>
      </c>
    </row>
    <row r="109" spans="1:7" x14ac:dyDescent="0.3">
      <c r="A109" t="s">
        <v>469</v>
      </c>
      <c r="B109" t="s">
        <v>718</v>
      </c>
      <c r="C109" t="s">
        <v>719</v>
      </c>
      <c r="D109" t="s">
        <v>472</v>
      </c>
      <c r="E109" t="s">
        <v>591</v>
      </c>
    </row>
    <row r="110" spans="1:7" x14ac:dyDescent="0.3">
      <c r="A110" t="s">
        <v>469</v>
      </c>
      <c r="B110" t="s">
        <v>720</v>
      </c>
      <c r="C110" t="s">
        <v>721</v>
      </c>
      <c r="D110" t="s">
        <v>472</v>
      </c>
      <c r="E110" t="s">
        <v>528</v>
      </c>
    </row>
    <row r="111" spans="1:7" x14ac:dyDescent="0.3">
      <c r="A111" t="s">
        <v>469</v>
      </c>
      <c r="B111" t="s">
        <v>722</v>
      </c>
      <c r="C111" t="s">
        <v>723</v>
      </c>
      <c r="D111" t="s">
        <v>472</v>
      </c>
      <c r="E111" t="s">
        <v>514</v>
      </c>
    </row>
    <row r="112" spans="1:7" x14ac:dyDescent="0.3">
      <c r="A112" t="s">
        <v>469</v>
      </c>
      <c r="B112" t="s">
        <v>724</v>
      </c>
      <c r="C112" t="s">
        <v>725</v>
      </c>
      <c r="D112" t="s">
        <v>472</v>
      </c>
      <c r="E112" t="s">
        <v>528</v>
      </c>
      <c r="F112">
        <v>0.9</v>
      </c>
      <c r="G112" t="s">
        <v>1051</v>
      </c>
    </row>
    <row r="113" spans="1:7" x14ac:dyDescent="0.3">
      <c r="A113" t="s">
        <v>469</v>
      </c>
      <c r="B113" t="s">
        <v>726</v>
      </c>
      <c r="C113" t="s">
        <v>727</v>
      </c>
      <c r="D113" t="s">
        <v>472</v>
      </c>
      <c r="E113" t="s">
        <v>504</v>
      </c>
      <c r="F113">
        <v>0.88</v>
      </c>
      <c r="G113" t="s">
        <v>1050</v>
      </c>
    </row>
    <row r="114" spans="1:7" x14ac:dyDescent="0.3">
      <c r="A114" t="s">
        <v>469</v>
      </c>
      <c r="B114" t="s">
        <v>728</v>
      </c>
      <c r="C114" t="s">
        <v>729</v>
      </c>
      <c r="D114" t="s">
        <v>472</v>
      </c>
      <c r="E114" t="s">
        <v>494</v>
      </c>
      <c r="F114">
        <v>0.97</v>
      </c>
      <c r="G114" t="s">
        <v>1020</v>
      </c>
    </row>
    <row r="115" spans="1:7" x14ac:dyDescent="0.3">
      <c r="A115" t="s">
        <v>469</v>
      </c>
      <c r="B115" t="s">
        <v>730</v>
      </c>
      <c r="C115" t="s">
        <v>731</v>
      </c>
      <c r="D115" t="s">
        <v>472</v>
      </c>
      <c r="E115" t="s">
        <v>543</v>
      </c>
      <c r="F115">
        <v>0.82</v>
      </c>
      <c r="G115" t="s">
        <v>1018</v>
      </c>
    </row>
    <row r="116" spans="1:7" x14ac:dyDescent="0.3">
      <c r="A116" t="s">
        <v>469</v>
      </c>
      <c r="B116" t="s">
        <v>732</v>
      </c>
      <c r="C116" t="s">
        <v>733</v>
      </c>
      <c r="D116" t="s">
        <v>472</v>
      </c>
      <c r="E116" t="s">
        <v>494</v>
      </c>
      <c r="F116">
        <v>0.94</v>
      </c>
      <c r="G116" t="s">
        <v>1030</v>
      </c>
    </row>
    <row r="117" spans="1:7" x14ac:dyDescent="0.3">
      <c r="A117" t="s">
        <v>469</v>
      </c>
      <c r="B117" t="s">
        <v>734</v>
      </c>
      <c r="C117" t="s">
        <v>735</v>
      </c>
      <c r="D117" t="s">
        <v>472</v>
      </c>
      <c r="E117" t="s">
        <v>591</v>
      </c>
      <c r="F117">
        <v>0.83</v>
      </c>
      <c r="G117" t="s">
        <v>1028</v>
      </c>
    </row>
    <row r="118" spans="1:7" x14ac:dyDescent="0.3">
      <c r="A118" t="s">
        <v>469</v>
      </c>
      <c r="B118" t="s">
        <v>736</v>
      </c>
      <c r="C118" t="s">
        <v>737</v>
      </c>
      <c r="D118" t="s">
        <v>472</v>
      </c>
      <c r="E118" t="s">
        <v>738</v>
      </c>
      <c r="F118">
        <v>0.97</v>
      </c>
      <c r="G118" t="s">
        <v>1011</v>
      </c>
    </row>
    <row r="119" spans="1:7" x14ac:dyDescent="0.3">
      <c r="A119" t="s">
        <v>469</v>
      </c>
      <c r="B119" t="s">
        <v>739</v>
      </c>
      <c r="C119" t="s">
        <v>740</v>
      </c>
      <c r="D119" t="s">
        <v>472</v>
      </c>
      <c r="E119" t="s">
        <v>543</v>
      </c>
      <c r="F119">
        <v>0.93</v>
      </c>
    </row>
    <row r="120" spans="1:7" x14ac:dyDescent="0.3">
      <c r="A120" t="s">
        <v>469</v>
      </c>
      <c r="B120" t="s">
        <v>741</v>
      </c>
      <c r="C120" t="s">
        <v>742</v>
      </c>
      <c r="D120" t="s">
        <v>472</v>
      </c>
      <c r="E120" t="s">
        <v>659</v>
      </c>
      <c r="F120">
        <v>0.94</v>
      </c>
      <c r="G120" t="s">
        <v>1052</v>
      </c>
    </row>
    <row r="121" spans="1:7" x14ac:dyDescent="0.3">
      <c r="A121" t="s">
        <v>469</v>
      </c>
      <c r="B121" t="s">
        <v>743</v>
      </c>
      <c r="C121" t="s">
        <v>744</v>
      </c>
      <c r="D121" t="s">
        <v>472</v>
      </c>
      <c r="E121" t="s">
        <v>491</v>
      </c>
      <c r="F121">
        <v>0.94</v>
      </c>
      <c r="G121" t="s">
        <v>1030</v>
      </c>
    </row>
    <row r="122" spans="1:7" x14ac:dyDescent="0.3">
      <c r="A122" t="s">
        <v>584</v>
      </c>
      <c r="B122" t="s">
        <v>745</v>
      </c>
      <c r="C122" t="s">
        <v>746</v>
      </c>
      <c r="D122" t="s">
        <v>472</v>
      </c>
      <c r="E122" t="s">
        <v>494</v>
      </c>
      <c r="F122">
        <v>0.83</v>
      </c>
      <c r="G122" t="s">
        <v>1011</v>
      </c>
    </row>
    <row r="123" spans="1:7" x14ac:dyDescent="0.3">
      <c r="A123" t="s">
        <v>469</v>
      </c>
      <c r="B123" t="s">
        <v>747</v>
      </c>
      <c r="C123" t="s">
        <v>748</v>
      </c>
      <c r="D123" t="s">
        <v>472</v>
      </c>
      <c r="E123" t="s">
        <v>485</v>
      </c>
      <c r="F123">
        <v>0.95</v>
      </c>
      <c r="G123" t="s">
        <v>1012</v>
      </c>
    </row>
    <row r="124" spans="1:7" x14ac:dyDescent="0.3">
      <c r="A124" t="s">
        <v>469</v>
      </c>
      <c r="B124" t="s">
        <v>749</v>
      </c>
      <c r="C124" t="s">
        <v>750</v>
      </c>
      <c r="D124" t="s">
        <v>472</v>
      </c>
      <c r="E124" t="s">
        <v>698</v>
      </c>
      <c r="F124">
        <v>0.94</v>
      </c>
      <c r="G124" t="s">
        <v>1030</v>
      </c>
    </row>
    <row r="125" spans="1:7" x14ac:dyDescent="0.3">
      <c r="A125" t="s">
        <v>469</v>
      </c>
      <c r="B125" t="s">
        <v>751</v>
      </c>
      <c r="C125" t="s">
        <v>752</v>
      </c>
      <c r="D125" t="s">
        <v>472</v>
      </c>
      <c r="E125" t="s">
        <v>606</v>
      </c>
      <c r="F125">
        <v>0.95</v>
      </c>
      <c r="G125" t="s">
        <v>1028</v>
      </c>
    </row>
    <row r="126" spans="1:7" x14ac:dyDescent="0.3">
      <c r="A126" t="s">
        <v>469</v>
      </c>
      <c r="B126" t="s">
        <v>753</v>
      </c>
      <c r="C126" t="s">
        <v>754</v>
      </c>
      <c r="D126" t="s">
        <v>472</v>
      </c>
      <c r="E126" t="s">
        <v>591</v>
      </c>
    </row>
    <row r="127" spans="1:7" x14ac:dyDescent="0.3">
      <c r="A127" t="s">
        <v>469</v>
      </c>
      <c r="B127" t="s">
        <v>755</v>
      </c>
      <c r="C127" t="s">
        <v>756</v>
      </c>
      <c r="D127" t="s">
        <v>472</v>
      </c>
      <c r="E127" t="s">
        <v>757</v>
      </c>
      <c r="F127">
        <v>0.94</v>
      </c>
      <c r="G127" t="s">
        <v>1028</v>
      </c>
    </row>
    <row r="128" spans="1:7" x14ac:dyDescent="0.3">
      <c r="A128" t="s">
        <v>469</v>
      </c>
      <c r="B128" t="s">
        <v>758</v>
      </c>
      <c r="C128" t="s">
        <v>759</v>
      </c>
      <c r="D128" t="s">
        <v>472</v>
      </c>
      <c r="E128" t="s">
        <v>630</v>
      </c>
    </row>
    <row r="129" spans="1:7" x14ac:dyDescent="0.3">
      <c r="A129" t="s">
        <v>469</v>
      </c>
      <c r="B129" t="s">
        <v>760</v>
      </c>
      <c r="C129" t="s">
        <v>761</v>
      </c>
      <c r="D129" t="s">
        <v>472</v>
      </c>
      <c r="E129" t="s">
        <v>573</v>
      </c>
      <c r="F129">
        <v>0.95</v>
      </c>
      <c r="G129" t="s">
        <v>1014</v>
      </c>
    </row>
    <row r="130" spans="1:7" x14ac:dyDescent="0.3">
      <c r="A130" t="s">
        <v>469</v>
      </c>
      <c r="B130" t="s">
        <v>762</v>
      </c>
      <c r="C130" t="s">
        <v>763</v>
      </c>
      <c r="D130" t="s">
        <v>472</v>
      </c>
      <c r="E130" t="s">
        <v>514</v>
      </c>
      <c r="F130">
        <v>0.89</v>
      </c>
    </row>
    <row r="131" spans="1:7" x14ac:dyDescent="0.3">
      <c r="A131" t="s">
        <v>469</v>
      </c>
      <c r="B131" t="s">
        <v>764</v>
      </c>
      <c r="C131" t="s">
        <v>765</v>
      </c>
      <c r="D131" t="s">
        <v>472</v>
      </c>
      <c r="E131" t="s">
        <v>681</v>
      </c>
      <c r="F131">
        <v>0.93</v>
      </c>
      <c r="G131" t="s">
        <v>1053</v>
      </c>
    </row>
    <row r="132" spans="1:7" x14ac:dyDescent="0.3">
      <c r="A132" t="s">
        <v>469</v>
      </c>
      <c r="B132" t="s">
        <v>766</v>
      </c>
      <c r="C132" t="s">
        <v>767</v>
      </c>
      <c r="D132" t="s">
        <v>472</v>
      </c>
      <c r="E132" t="s">
        <v>485</v>
      </c>
      <c r="F132">
        <v>0.81</v>
      </c>
      <c r="G132" t="s">
        <v>1027</v>
      </c>
    </row>
    <row r="133" spans="1:7" x14ac:dyDescent="0.3">
      <c r="A133" t="s">
        <v>469</v>
      </c>
      <c r="B133" t="s">
        <v>768</v>
      </c>
      <c r="C133" t="s">
        <v>769</v>
      </c>
      <c r="D133" t="s">
        <v>472</v>
      </c>
      <c r="E133" t="s">
        <v>488</v>
      </c>
      <c r="F133">
        <v>0.99</v>
      </c>
      <c r="G133" t="s">
        <v>1041</v>
      </c>
    </row>
    <row r="134" spans="1:7" x14ac:dyDescent="0.3">
      <c r="A134" t="s">
        <v>469</v>
      </c>
      <c r="B134" t="s">
        <v>770</v>
      </c>
      <c r="C134" t="s">
        <v>771</v>
      </c>
      <c r="D134" t="s">
        <v>472</v>
      </c>
      <c r="E134" t="s">
        <v>473</v>
      </c>
      <c r="F134">
        <v>0.15</v>
      </c>
    </row>
    <row r="135" spans="1:7" x14ac:dyDescent="0.3">
      <c r="A135" t="s">
        <v>469</v>
      </c>
      <c r="B135" t="s">
        <v>772</v>
      </c>
      <c r="C135" t="s">
        <v>773</v>
      </c>
      <c r="D135" t="s">
        <v>472</v>
      </c>
      <c r="E135" t="s">
        <v>517</v>
      </c>
      <c r="F135">
        <v>0.8</v>
      </c>
    </row>
    <row r="136" spans="1:7" x14ac:dyDescent="0.3">
      <c r="A136" t="s">
        <v>469</v>
      </c>
      <c r="B136" t="s">
        <v>774</v>
      </c>
      <c r="C136" t="s">
        <v>775</v>
      </c>
      <c r="D136" t="s">
        <v>472</v>
      </c>
      <c r="E136" t="s">
        <v>517</v>
      </c>
    </row>
    <row r="137" spans="1:7" x14ac:dyDescent="0.3">
      <c r="A137" t="s">
        <v>469</v>
      </c>
      <c r="B137" t="s">
        <v>776</v>
      </c>
      <c r="C137" t="s">
        <v>777</v>
      </c>
      <c r="D137" t="s">
        <v>472</v>
      </c>
      <c r="E137" t="s">
        <v>473</v>
      </c>
      <c r="F137">
        <v>0.94</v>
      </c>
      <c r="G137" t="s">
        <v>1046</v>
      </c>
    </row>
    <row r="138" spans="1:7" x14ac:dyDescent="0.3">
      <c r="A138" t="s">
        <v>469</v>
      </c>
      <c r="B138" t="s">
        <v>778</v>
      </c>
      <c r="C138" t="s">
        <v>779</v>
      </c>
      <c r="D138" t="s">
        <v>472</v>
      </c>
      <c r="E138" t="s">
        <v>619</v>
      </c>
      <c r="F138">
        <v>0.99</v>
      </c>
      <c r="G138" t="s">
        <v>1014</v>
      </c>
    </row>
    <row r="139" spans="1:7" x14ac:dyDescent="0.3">
      <c r="A139" t="s">
        <v>469</v>
      </c>
      <c r="B139" t="s">
        <v>780</v>
      </c>
      <c r="C139" t="s">
        <v>781</v>
      </c>
      <c r="D139" t="s">
        <v>472</v>
      </c>
      <c r="E139" t="s">
        <v>649</v>
      </c>
      <c r="F139">
        <v>0.94</v>
      </c>
      <c r="G139" t="s">
        <v>1054</v>
      </c>
    </row>
    <row r="140" spans="1:7" x14ac:dyDescent="0.3">
      <c r="A140" t="s">
        <v>469</v>
      </c>
      <c r="B140" t="s">
        <v>782</v>
      </c>
      <c r="C140" t="s">
        <v>783</v>
      </c>
      <c r="D140" t="s">
        <v>472</v>
      </c>
      <c r="E140" t="s">
        <v>476</v>
      </c>
      <c r="F140">
        <v>0.93</v>
      </c>
      <c r="G140" t="s">
        <v>1012</v>
      </c>
    </row>
    <row r="141" spans="1:7" x14ac:dyDescent="0.3">
      <c r="A141" t="s">
        <v>469</v>
      </c>
      <c r="B141" t="s">
        <v>784</v>
      </c>
      <c r="C141" t="s">
        <v>785</v>
      </c>
      <c r="D141" t="s">
        <v>472</v>
      </c>
      <c r="E141" t="s">
        <v>488</v>
      </c>
    </row>
    <row r="142" spans="1:7" x14ac:dyDescent="0.3">
      <c r="A142" t="s">
        <v>469</v>
      </c>
      <c r="B142" t="s">
        <v>786</v>
      </c>
      <c r="C142" t="s">
        <v>787</v>
      </c>
      <c r="D142" t="s">
        <v>472</v>
      </c>
      <c r="E142" t="s">
        <v>606</v>
      </c>
      <c r="F142">
        <v>0.98</v>
      </c>
      <c r="G142" t="s">
        <v>1020</v>
      </c>
    </row>
    <row r="143" spans="1:7" x14ac:dyDescent="0.3">
      <c r="A143" t="s">
        <v>469</v>
      </c>
      <c r="B143" t="s">
        <v>788</v>
      </c>
      <c r="C143" t="s">
        <v>789</v>
      </c>
      <c r="D143" t="s">
        <v>472</v>
      </c>
      <c r="E143" t="s">
        <v>514</v>
      </c>
      <c r="F143">
        <v>0.92</v>
      </c>
      <c r="G143" t="s">
        <v>1015</v>
      </c>
    </row>
    <row r="144" spans="1:7" x14ac:dyDescent="0.3">
      <c r="A144" t="s">
        <v>469</v>
      </c>
      <c r="B144" t="s">
        <v>790</v>
      </c>
      <c r="C144" t="s">
        <v>791</v>
      </c>
      <c r="D144" t="s">
        <v>472</v>
      </c>
      <c r="E144" t="s">
        <v>525</v>
      </c>
      <c r="F144">
        <v>0.91</v>
      </c>
      <c r="G144" t="s">
        <v>1046</v>
      </c>
    </row>
    <row r="145" spans="1:7" x14ac:dyDescent="0.3">
      <c r="A145" t="s">
        <v>469</v>
      </c>
      <c r="B145" t="s">
        <v>792</v>
      </c>
      <c r="C145" t="s">
        <v>793</v>
      </c>
      <c r="D145" t="s">
        <v>472</v>
      </c>
      <c r="E145" t="s">
        <v>757</v>
      </c>
      <c r="F145">
        <v>0.57999999999999996</v>
      </c>
    </row>
    <row r="146" spans="1:7" x14ac:dyDescent="0.3">
      <c r="A146" t="s">
        <v>469</v>
      </c>
      <c r="B146" t="s">
        <v>794</v>
      </c>
      <c r="C146" t="s">
        <v>795</v>
      </c>
      <c r="D146" t="s">
        <v>472</v>
      </c>
      <c r="E146" t="s">
        <v>485</v>
      </c>
      <c r="F146">
        <v>0.17</v>
      </c>
      <c r="G146" t="s">
        <v>1015</v>
      </c>
    </row>
    <row r="147" spans="1:7" x14ac:dyDescent="0.3">
      <c r="A147" t="s">
        <v>469</v>
      </c>
      <c r="B147" t="s">
        <v>796</v>
      </c>
      <c r="C147" t="s">
        <v>797</v>
      </c>
      <c r="D147" t="s">
        <v>472</v>
      </c>
      <c r="E147" t="s">
        <v>511</v>
      </c>
    </row>
    <row r="148" spans="1:7" x14ac:dyDescent="0.3">
      <c r="A148" t="s">
        <v>469</v>
      </c>
      <c r="B148" t="s">
        <v>798</v>
      </c>
      <c r="C148" t="s">
        <v>697</v>
      </c>
      <c r="D148" t="s">
        <v>472</v>
      </c>
    </row>
    <row r="149" spans="1:7" x14ac:dyDescent="0.3">
      <c r="A149" t="s">
        <v>469</v>
      </c>
      <c r="B149" t="s">
        <v>799</v>
      </c>
      <c r="C149" t="s">
        <v>800</v>
      </c>
      <c r="D149" t="s">
        <v>472</v>
      </c>
      <c r="E149" t="s">
        <v>488</v>
      </c>
      <c r="F149">
        <v>0.98</v>
      </c>
      <c r="G149" t="s">
        <v>1055</v>
      </c>
    </row>
    <row r="150" spans="1:7" x14ac:dyDescent="0.3">
      <c r="A150" t="s">
        <v>469</v>
      </c>
      <c r="B150" t="s">
        <v>801</v>
      </c>
      <c r="C150" t="s">
        <v>802</v>
      </c>
      <c r="D150" t="s">
        <v>472</v>
      </c>
      <c r="E150" t="s">
        <v>803</v>
      </c>
      <c r="F150">
        <v>0.77</v>
      </c>
      <c r="G150" t="s">
        <v>1024</v>
      </c>
    </row>
    <row r="151" spans="1:7" x14ac:dyDescent="0.3">
      <c r="A151" t="s">
        <v>469</v>
      </c>
      <c r="B151" t="s">
        <v>804</v>
      </c>
      <c r="C151" t="s">
        <v>805</v>
      </c>
      <c r="D151" t="s">
        <v>472</v>
      </c>
      <c r="E151" t="s">
        <v>514</v>
      </c>
      <c r="F151">
        <v>0.95</v>
      </c>
      <c r="G151" t="s">
        <v>1056</v>
      </c>
    </row>
    <row r="152" spans="1:7" x14ac:dyDescent="0.3">
      <c r="A152" t="s">
        <v>469</v>
      </c>
      <c r="B152" t="s">
        <v>806</v>
      </c>
      <c r="C152" t="s">
        <v>807</v>
      </c>
      <c r="D152" t="s">
        <v>472</v>
      </c>
      <c r="E152" t="s">
        <v>630</v>
      </c>
    </row>
    <row r="153" spans="1:7" x14ac:dyDescent="0.3">
      <c r="A153" t="s">
        <v>469</v>
      </c>
      <c r="B153" t="s">
        <v>808</v>
      </c>
      <c r="C153" t="s">
        <v>809</v>
      </c>
      <c r="D153" t="s">
        <v>472</v>
      </c>
      <c r="E153" t="s">
        <v>548</v>
      </c>
      <c r="F153">
        <v>0.94</v>
      </c>
    </row>
    <row r="154" spans="1:7" x14ac:dyDescent="0.3">
      <c r="A154" t="s">
        <v>469</v>
      </c>
      <c r="B154" t="s">
        <v>810</v>
      </c>
      <c r="C154" t="s">
        <v>811</v>
      </c>
      <c r="D154" t="s">
        <v>472</v>
      </c>
      <c r="E154" t="s">
        <v>548</v>
      </c>
      <c r="F154">
        <v>0.78</v>
      </c>
      <c r="G154" t="s">
        <v>1053</v>
      </c>
    </row>
    <row r="155" spans="1:7" x14ac:dyDescent="0.3">
      <c r="A155" t="s">
        <v>469</v>
      </c>
      <c r="B155" t="s">
        <v>812</v>
      </c>
      <c r="C155" t="s">
        <v>813</v>
      </c>
      <c r="D155" t="s">
        <v>472</v>
      </c>
      <c r="E155" t="s">
        <v>543</v>
      </c>
      <c r="F155">
        <v>0.78</v>
      </c>
      <c r="G155" t="s">
        <v>1015</v>
      </c>
    </row>
    <row r="156" spans="1:7" x14ac:dyDescent="0.3">
      <c r="A156" t="s">
        <v>469</v>
      </c>
      <c r="B156" t="s">
        <v>814</v>
      </c>
      <c r="C156" t="s">
        <v>815</v>
      </c>
      <c r="D156" t="s">
        <v>472</v>
      </c>
      <c r="E156" t="s">
        <v>491</v>
      </c>
      <c r="F156">
        <v>0.93</v>
      </c>
      <c r="G156" t="s">
        <v>1057</v>
      </c>
    </row>
    <row r="157" spans="1:7" x14ac:dyDescent="0.3">
      <c r="A157" t="s">
        <v>469</v>
      </c>
      <c r="B157" t="s">
        <v>816</v>
      </c>
      <c r="C157" t="s">
        <v>817</v>
      </c>
      <c r="D157" t="s">
        <v>472</v>
      </c>
      <c r="E157" t="s">
        <v>649</v>
      </c>
      <c r="F157">
        <v>0.84</v>
      </c>
      <c r="G157" t="s">
        <v>1057</v>
      </c>
    </row>
    <row r="158" spans="1:7" x14ac:dyDescent="0.3">
      <c r="A158" t="s">
        <v>469</v>
      </c>
      <c r="B158" t="s">
        <v>818</v>
      </c>
      <c r="C158" t="s">
        <v>819</v>
      </c>
      <c r="D158" t="s">
        <v>472</v>
      </c>
      <c r="E158" t="s">
        <v>681</v>
      </c>
      <c r="F158">
        <v>0.98</v>
      </c>
      <c r="G158" t="s">
        <v>1048</v>
      </c>
    </row>
    <row r="159" spans="1:7" x14ac:dyDescent="0.3">
      <c r="A159" t="s">
        <v>469</v>
      </c>
      <c r="B159" t="s">
        <v>820</v>
      </c>
      <c r="C159" t="s">
        <v>821</v>
      </c>
      <c r="D159" t="s">
        <v>472</v>
      </c>
      <c r="E159" t="s">
        <v>479</v>
      </c>
      <c r="F159">
        <v>0.39</v>
      </c>
      <c r="G159" t="s">
        <v>1011</v>
      </c>
    </row>
    <row r="160" spans="1:7" x14ac:dyDescent="0.3">
      <c r="A160" t="s">
        <v>469</v>
      </c>
      <c r="B160" t="s">
        <v>822</v>
      </c>
      <c r="C160" t="s">
        <v>823</v>
      </c>
      <c r="D160" t="s">
        <v>472</v>
      </c>
      <c r="E160" t="s">
        <v>824</v>
      </c>
      <c r="F160">
        <v>0.94</v>
      </c>
      <c r="G160" t="s">
        <v>1011</v>
      </c>
    </row>
    <row r="161" spans="1:7" x14ac:dyDescent="0.3">
      <c r="A161" t="s">
        <v>469</v>
      </c>
      <c r="B161" t="s">
        <v>825</v>
      </c>
      <c r="C161" t="s">
        <v>826</v>
      </c>
      <c r="D161" t="s">
        <v>472</v>
      </c>
      <c r="E161" t="s">
        <v>491</v>
      </c>
    </row>
    <row r="162" spans="1:7" x14ac:dyDescent="0.3">
      <c r="A162" t="s">
        <v>469</v>
      </c>
      <c r="B162" t="s">
        <v>827</v>
      </c>
      <c r="C162" t="s">
        <v>828</v>
      </c>
      <c r="D162" t="s">
        <v>472</v>
      </c>
      <c r="E162" t="s">
        <v>494</v>
      </c>
      <c r="F162">
        <v>0.84</v>
      </c>
      <c r="G162" t="s">
        <v>1024</v>
      </c>
    </row>
    <row r="163" spans="1:7" x14ac:dyDescent="0.3">
      <c r="A163" t="s">
        <v>469</v>
      </c>
      <c r="B163" t="s">
        <v>829</v>
      </c>
      <c r="C163" t="s">
        <v>830</v>
      </c>
      <c r="D163" t="s">
        <v>472</v>
      </c>
      <c r="E163" t="s">
        <v>479</v>
      </c>
      <c r="F163">
        <v>0.92</v>
      </c>
      <c r="G163" t="s">
        <v>1015</v>
      </c>
    </row>
    <row r="164" spans="1:7" x14ac:dyDescent="0.3">
      <c r="A164" t="s">
        <v>469</v>
      </c>
      <c r="B164" t="s">
        <v>831</v>
      </c>
      <c r="C164" t="s">
        <v>832</v>
      </c>
      <c r="D164" t="s">
        <v>472</v>
      </c>
      <c r="E164" t="s">
        <v>494</v>
      </c>
      <c r="F164">
        <v>0.95</v>
      </c>
      <c r="G164" t="s">
        <v>1050</v>
      </c>
    </row>
    <row r="165" spans="1:7" x14ac:dyDescent="0.3">
      <c r="A165" t="s">
        <v>469</v>
      </c>
      <c r="B165" t="s">
        <v>833</v>
      </c>
      <c r="C165" t="s">
        <v>834</v>
      </c>
      <c r="D165" t="s">
        <v>472</v>
      </c>
      <c r="E165" t="s">
        <v>835</v>
      </c>
      <c r="F165">
        <v>0.89</v>
      </c>
      <c r="G165" t="s">
        <v>1026</v>
      </c>
    </row>
    <row r="166" spans="1:7" x14ac:dyDescent="0.3">
      <c r="A166" t="s">
        <v>469</v>
      </c>
      <c r="B166" t="s">
        <v>836</v>
      </c>
      <c r="C166" t="s">
        <v>837</v>
      </c>
      <c r="D166" t="s">
        <v>472</v>
      </c>
      <c r="E166" t="s">
        <v>649</v>
      </c>
      <c r="F166">
        <v>0.94</v>
      </c>
      <c r="G166" t="s">
        <v>1057</v>
      </c>
    </row>
    <row r="167" spans="1:7" x14ac:dyDescent="0.3">
      <c r="A167" t="s">
        <v>469</v>
      </c>
      <c r="B167" t="s">
        <v>838</v>
      </c>
      <c r="C167" t="s">
        <v>839</v>
      </c>
      <c r="D167" t="s">
        <v>472</v>
      </c>
      <c r="E167" t="s">
        <v>543</v>
      </c>
      <c r="F167">
        <v>0.99</v>
      </c>
      <c r="G167" t="s">
        <v>1016</v>
      </c>
    </row>
    <row r="168" spans="1:7" x14ac:dyDescent="0.3">
      <c r="A168" t="s">
        <v>480</v>
      </c>
      <c r="B168" t="s">
        <v>840</v>
      </c>
      <c r="C168" t="s">
        <v>841</v>
      </c>
      <c r="D168" t="s">
        <v>472</v>
      </c>
      <c r="E168" t="s">
        <v>476</v>
      </c>
      <c r="F168">
        <v>0.83</v>
      </c>
      <c r="G168" t="s">
        <v>1058</v>
      </c>
    </row>
    <row r="169" spans="1:7" x14ac:dyDescent="0.3">
      <c r="A169" t="s">
        <v>469</v>
      </c>
      <c r="B169" t="s">
        <v>842</v>
      </c>
      <c r="C169" t="s">
        <v>843</v>
      </c>
      <c r="D169" t="s">
        <v>472</v>
      </c>
      <c r="E169" t="s">
        <v>517</v>
      </c>
      <c r="F169">
        <v>0.57999999999999996</v>
      </c>
      <c r="G169" t="s">
        <v>1018</v>
      </c>
    </row>
    <row r="170" spans="1:7" x14ac:dyDescent="0.3">
      <c r="A170" t="s">
        <v>469</v>
      </c>
      <c r="B170" t="s">
        <v>844</v>
      </c>
      <c r="C170" t="s">
        <v>845</v>
      </c>
      <c r="D170" t="s">
        <v>472</v>
      </c>
      <c r="E170" t="s">
        <v>835</v>
      </c>
      <c r="F170">
        <v>0.89</v>
      </c>
      <c r="G170" t="s">
        <v>1024</v>
      </c>
    </row>
    <row r="171" spans="1:7" x14ac:dyDescent="0.3">
      <c r="A171" t="s">
        <v>469</v>
      </c>
      <c r="B171" t="s">
        <v>846</v>
      </c>
      <c r="C171" t="s">
        <v>847</v>
      </c>
      <c r="D171" t="s">
        <v>472</v>
      </c>
      <c r="E171" t="s">
        <v>538</v>
      </c>
      <c r="F171">
        <v>0.88</v>
      </c>
      <c r="G171" t="s">
        <v>1011</v>
      </c>
    </row>
    <row r="172" spans="1:7" x14ac:dyDescent="0.3">
      <c r="A172" t="s">
        <v>469</v>
      </c>
      <c r="B172" t="s">
        <v>848</v>
      </c>
      <c r="C172" t="s">
        <v>849</v>
      </c>
      <c r="D172" t="s">
        <v>472</v>
      </c>
      <c r="E172" t="s">
        <v>488</v>
      </c>
      <c r="F172">
        <v>0.56000000000000005</v>
      </c>
      <c r="G172" t="s">
        <v>1015</v>
      </c>
    </row>
    <row r="173" spans="1:7" x14ac:dyDescent="0.3">
      <c r="A173" t="s">
        <v>469</v>
      </c>
      <c r="B173" t="s">
        <v>850</v>
      </c>
      <c r="C173" t="s">
        <v>851</v>
      </c>
      <c r="D173" t="s">
        <v>472</v>
      </c>
      <c r="E173" t="s">
        <v>591</v>
      </c>
    </row>
    <row r="174" spans="1:7" x14ac:dyDescent="0.3">
      <c r="A174" t="s">
        <v>469</v>
      </c>
      <c r="B174" t="s">
        <v>852</v>
      </c>
      <c r="C174" t="s">
        <v>853</v>
      </c>
      <c r="D174" t="s">
        <v>472</v>
      </c>
      <c r="E174" t="s">
        <v>511</v>
      </c>
      <c r="F174">
        <v>0.99</v>
      </c>
      <c r="G174" t="s">
        <v>1028</v>
      </c>
    </row>
    <row r="175" spans="1:7" x14ac:dyDescent="0.3">
      <c r="A175" t="s">
        <v>552</v>
      </c>
      <c r="B175" t="s">
        <v>854</v>
      </c>
      <c r="C175" t="s">
        <v>855</v>
      </c>
      <c r="D175" t="s">
        <v>472</v>
      </c>
      <c r="E175" t="s">
        <v>681</v>
      </c>
      <c r="F175">
        <v>0.5</v>
      </c>
      <c r="G175" t="s">
        <v>1031</v>
      </c>
    </row>
    <row r="176" spans="1:7" x14ac:dyDescent="0.3">
      <c r="A176" t="s">
        <v>469</v>
      </c>
      <c r="B176" t="s">
        <v>856</v>
      </c>
      <c r="C176" t="s">
        <v>857</v>
      </c>
      <c r="D176" t="s">
        <v>472</v>
      </c>
      <c r="E176" t="s">
        <v>491</v>
      </c>
      <c r="F176">
        <v>0.99</v>
      </c>
      <c r="G176" t="s">
        <v>1044</v>
      </c>
    </row>
    <row r="177" spans="1:7" x14ac:dyDescent="0.3">
      <c r="A177" t="s">
        <v>469</v>
      </c>
      <c r="B177" t="s">
        <v>858</v>
      </c>
      <c r="C177" t="s">
        <v>610</v>
      </c>
      <c r="D177" t="s">
        <v>472</v>
      </c>
      <c r="F177">
        <v>1</v>
      </c>
      <c r="G177" t="s">
        <v>1012</v>
      </c>
    </row>
    <row r="178" spans="1:7" x14ac:dyDescent="0.3">
      <c r="A178" t="s">
        <v>480</v>
      </c>
      <c r="B178" t="s">
        <v>859</v>
      </c>
      <c r="C178" t="s">
        <v>860</v>
      </c>
      <c r="D178" t="s">
        <v>472</v>
      </c>
      <c r="E178" t="s">
        <v>757</v>
      </c>
      <c r="F178">
        <v>0.89</v>
      </c>
      <c r="G178" t="s">
        <v>1059</v>
      </c>
    </row>
    <row r="179" spans="1:7" x14ac:dyDescent="0.3">
      <c r="A179" t="s">
        <v>469</v>
      </c>
      <c r="B179" t="s">
        <v>861</v>
      </c>
      <c r="C179" t="s">
        <v>862</v>
      </c>
      <c r="D179" t="s">
        <v>472</v>
      </c>
      <c r="E179" t="s">
        <v>494</v>
      </c>
      <c r="F179">
        <v>0.89</v>
      </c>
      <c r="G179" t="s">
        <v>1050</v>
      </c>
    </row>
    <row r="180" spans="1:7" x14ac:dyDescent="0.3">
      <c r="A180" t="s">
        <v>552</v>
      </c>
      <c r="B180" t="s">
        <v>863</v>
      </c>
      <c r="C180" t="s">
        <v>864</v>
      </c>
      <c r="D180" t="s">
        <v>472</v>
      </c>
      <c r="E180" t="s">
        <v>499</v>
      </c>
      <c r="F180">
        <v>0.9</v>
      </c>
      <c r="G180" t="s">
        <v>1020</v>
      </c>
    </row>
    <row r="181" spans="1:7" x14ac:dyDescent="0.3">
      <c r="A181" t="s">
        <v>469</v>
      </c>
      <c r="B181" t="s">
        <v>865</v>
      </c>
      <c r="C181" t="s">
        <v>866</v>
      </c>
      <c r="D181" t="s">
        <v>472</v>
      </c>
      <c r="E181" t="s">
        <v>606</v>
      </c>
    </row>
    <row r="182" spans="1:7" x14ac:dyDescent="0.3">
      <c r="A182" t="s">
        <v>480</v>
      </c>
      <c r="B182" t="s">
        <v>867</v>
      </c>
      <c r="C182" t="s">
        <v>868</v>
      </c>
      <c r="D182" t="s">
        <v>472</v>
      </c>
      <c r="E182" t="s">
        <v>835</v>
      </c>
      <c r="F182">
        <v>0.8</v>
      </c>
      <c r="G182" t="s">
        <v>1019</v>
      </c>
    </row>
    <row r="183" spans="1:7" x14ac:dyDescent="0.3">
      <c r="A183" t="s">
        <v>469</v>
      </c>
      <c r="B183" t="s">
        <v>869</v>
      </c>
      <c r="C183" t="s">
        <v>870</v>
      </c>
      <c r="D183" t="s">
        <v>472</v>
      </c>
      <c r="E183" t="s">
        <v>551</v>
      </c>
      <c r="F183">
        <v>1</v>
      </c>
      <c r="G183" t="s">
        <v>1060</v>
      </c>
    </row>
    <row r="184" spans="1:7" x14ac:dyDescent="0.3">
      <c r="A184" t="s">
        <v>469</v>
      </c>
      <c r="B184" t="s">
        <v>871</v>
      </c>
      <c r="C184" t="s">
        <v>872</v>
      </c>
      <c r="D184" t="s">
        <v>472</v>
      </c>
      <c r="E184" t="s">
        <v>514</v>
      </c>
      <c r="F184">
        <v>0.94</v>
      </c>
    </row>
    <row r="185" spans="1:7" x14ac:dyDescent="0.3">
      <c r="A185" t="s">
        <v>469</v>
      </c>
      <c r="B185" t="s">
        <v>873</v>
      </c>
      <c r="C185" t="s">
        <v>874</v>
      </c>
      <c r="D185" t="s">
        <v>472</v>
      </c>
      <c r="E185" t="s">
        <v>591</v>
      </c>
      <c r="F185">
        <v>0.77</v>
      </c>
      <c r="G185" t="s">
        <v>1050</v>
      </c>
    </row>
    <row r="186" spans="1:7" x14ac:dyDescent="0.3">
      <c r="A186" t="s">
        <v>469</v>
      </c>
      <c r="B186" t="s">
        <v>875</v>
      </c>
      <c r="C186" t="s">
        <v>876</v>
      </c>
      <c r="D186" t="s">
        <v>472</v>
      </c>
      <c r="E186" t="s">
        <v>514</v>
      </c>
      <c r="F186">
        <v>0.69</v>
      </c>
      <c r="G186" t="s">
        <v>1024</v>
      </c>
    </row>
    <row r="187" spans="1:7" x14ac:dyDescent="0.3">
      <c r="A187" t="s">
        <v>469</v>
      </c>
      <c r="B187" t="s">
        <v>877</v>
      </c>
      <c r="C187" t="s">
        <v>878</v>
      </c>
      <c r="D187" t="s">
        <v>472</v>
      </c>
      <c r="E187" t="s">
        <v>494</v>
      </c>
      <c r="F187">
        <v>0.86</v>
      </c>
      <c r="G187" t="s">
        <v>1020</v>
      </c>
    </row>
    <row r="188" spans="1:7" x14ac:dyDescent="0.3">
      <c r="A188" t="s">
        <v>469</v>
      </c>
      <c r="B188" t="s">
        <v>879</v>
      </c>
      <c r="C188" t="s">
        <v>880</v>
      </c>
      <c r="D188" t="s">
        <v>472</v>
      </c>
      <c r="E188" t="s">
        <v>630</v>
      </c>
      <c r="F188">
        <v>0.82</v>
      </c>
      <c r="G188" t="s">
        <v>1048</v>
      </c>
    </row>
    <row r="189" spans="1:7" x14ac:dyDescent="0.3">
      <c r="A189" t="s">
        <v>469</v>
      </c>
      <c r="B189" t="s">
        <v>881</v>
      </c>
      <c r="C189" t="s">
        <v>882</v>
      </c>
      <c r="D189" t="s">
        <v>472</v>
      </c>
      <c r="E189" t="s">
        <v>883</v>
      </c>
      <c r="F189">
        <v>0.76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299B5-291A-408F-96CB-B6673D602C92}">
  <dimension ref="A1:J11"/>
  <sheetViews>
    <sheetView workbookViewId="0">
      <selection sqref="A1:J11"/>
    </sheetView>
  </sheetViews>
  <sheetFormatPr defaultRowHeight="14.4" x14ac:dyDescent="0.3"/>
  <cols>
    <col min="1" max="1" width="13" customWidth="1"/>
    <col min="3" max="3" width="13" customWidth="1"/>
    <col min="5" max="5" width="9" customWidth="1"/>
    <col min="7" max="7" width="10.44140625" customWidth="1"/>
    <col min="8" max="8" width="19.5546875" customWidth="1"/>
    <col min="9" max="9" width="13.109375" customWidth="1"/>
  </cols>
  <sheetData>
    <row r="1" spans="1:10" x14ac:dyDescent="0.3">
      <c r="A1" t="s">
        <v>917</v>
      </c>
      <c r="B1" t="s">
        <v>1</v>
      </c>
      <c r="C1" t="s">
        <v>394</v>
      </c>
      <c r="D1" t="s">
        <v>299</v>
      </c>
      <c r="E1" t="s">
        <v>887</v>
      </c>
      <c r="F1" t="s">
        <v>396</v>
      </c>
      <c r="G1" t="s">
        <v>401</v>
      </c>
      <c r="H1" t="s">
        <v>1067</v>
      </c>
      <c r="I1" t="s">
        <v>397</v>
      </c>
      <c r="J1" t="s">
        <v>922</v>
      </c>
    </row>
    <row r="2" spans="1:10" x14ac:dyDescent="0.3">
      <c r="A2">
        <v>101</v>
      </c>
      <c r="B2" t="s">
        <v>929</v>
      </c>
      <c r="C2" t="s">
        <v>404</v>
      </c>
      <c r="D2" t="s">
        <v>9</v>
      </c>
      <c r="E2" t="s">
        <v>256</v>
      </c>
      <c r="F2">
        <v>60000</v>
      </c>
      <c r="G2" t="s">
        <v>945</v>
      </c>
      <c r="H2">
        <v>4.2</v>
      </c>
      <c r="I2" t="s">
        <v>1068</v>
      </c>
      <c r="J2" t="s">
        <v>931</v>
      </c>
    </row>
    <row r="3" spans="1:10" x14ac:dyDescent="0.3">
      <c r="A3">
        <v>102</v>
      </c>
      <c r="B3" t="s">
        <v>936</v>
      </c>
      <c r="C3" t="s">
        <v>400</v>
      </c>
      <c r="D3" t="s">
        <v>226</v>
      </c>
      <c r="E3" t="s">
        <v>261</v>
      </c>
      <c r="F3">
        <v>45000</v>
      </c>
      <c r="G3" t="s">
        <v>953</v>
      </c>
      <c r="H3">
        <v>3.8</v>
      </c>
      <c r="I3" t="s">
        <v>1069</v>
      </c>
      <c r="J3" t="s">
        <v>931</v>
      </c>
    </row>
    <row r="4" spans="1:10" x14ac:dyDescent="0.3">
      <c r="A4">
        <v>103</v>
      </c>
      <c r="B4" t="s">
        <v>1070</v>
      </c>
      <c r="C4" t="s">
        <v>408</v>
      </c>
      <c r="D4" t="s">
        <v>9</v>
      </c>
      <c r="E4" t="s">
        <v>256</v>
      </c>
      <c r="F4">
        <v>70000</v>
      </c>
      <c r="G4" t="s">
        <v>1071</v>
      </c>
      <c r="H4">
        <v>4.5</v>
      </c>
      <c r="I4" t="s">
        <v>1072</v>
      </c>
      <c r="J4" t="s">
        <v>931</v>
      </c>
    </row>
    <row r="5" spans="1:10" x14ac:dyDescent="0.3">
      <c r="A5">
        <v>104</v>
      </c>
      <c r="B5" t="s">
        <v>982</v>
      </c>
      <c r="C5" t="s">
        <v>404</v>
      </c>
      <c r="D5" t="s">
        <v>150</v>
      </c>
      <c r="E5" t="s">
        <v>261</v>
      </c>
      <c r="F5">
        <v>65000</v>
      </c>
      <c r="G5" t="s">
        <v>945</v>
      </c>
      <c r="H5">
        <v>4</v>
      </c>
      <c r="I5" t="s">
        <v>1073</v>
      </c>
      <c r="J5" t="s">
        <v>979</v>
      </c>
    </row>
    <row r="6" spans="1:10" x14ac:dyDescent="0.3">
      <c r="A6">
        <v>110</v>
      </c>
      <c r="B6" t="s">
        <v>949</v>
      </c>
      <c r="C6" t="s">
        <v>303</v>
      </c>
      <c r="D6" t="s">
        <v>226</v>
      </c>
      <c r="E6" t="s">
        <v>256</v>
      </c>
      <c r="F6">
        <v>50000</v>
      </c>
      <c r="G6" t="s">
        <v>959</v>
      </c>
      <c r="H6">
        <v>3.6</v>
      </c>
      <c r="I6" t="s">
        <v>1074</v>
      </c>
      <c r="J6" t="s">
        <v>931</v>
      </c>
    </row>
    <row r="7" spans="1:10" x14ac:dyDescent="0.3">
      <c r="A7">
        <v>109</v>
      </c>
      <c r="B7" t="s">
        <v>941</v>
      </c>
      <c r="C7" t="s">
        <v>400</v>
      </c>
      <c r="D7" t="s">
        <v>9</v>
      </c>
      <c r="E7" t="s">
        <v>261</v>
      </c>
      <c r="F7">
        <v>48000</v>
      </c>
      <c r="G7" t="s">
        <v>953</v>
      </c>
      <c r="H7">
        <v>4.0999999999999996</v>
      </c>
      <c r="I7" t="s">
        <v>1075</v>
      </c>
      <c r="J7" t="s">
        <v>931</v>
      </c>
    </row>
    <row r="8" spans="1:10" x14ac:dyDescent="0.3">
      <c r="A8">
        <v>107</v>
      </c>
      <c r="B8" t="s">
        <v>976</v>
      </c>
      <c r="C8" t="s">
        <v>408</v>
      </c>
      <c r="D8" t="s">
        <v>150</v>
      </c>
      <c r="E8" t="s">
        <v>256</v>
      </c>
      <c r="F8">
        <v>72000</v>
      </c>
      <c r="G8" t="s">
        <v>1071</v>
      </c>
      <c r="H8">
        <v>4.7</v>
      </c>
      <c r="I8" t="s">
        <v>1076</v>
      </c>
      <c r="J8" t="s">
        <v>931</v>
      </c>
    </row>
    <row r="9" spans="1:10" x14ac:dyDescent="0.3">
      <c r="A9">
        <v>108</v>
      </c>
      <c r="B9" t="s">
        <v>1077</v>
      </c>
      <c r="C9" t="s">
        <v>303</v>
      </c>
      <c r="D9" t="s">
        <v>9</v>
      </c>
      <c r="E9" t="s">
        <v>261</v>
      </c>
      <c r="F9">
        <v>52000</v>
      </c>
      <c r="G9" t="s">
        <v>959</v>
      </c>
      <c r="H9">
        <v>3.9</v>
      </c>
      <c r="I9" t="s">
        <v>1078</v>
      </c>
      <c r="J9" t="s">
        <v>979</v>
      </c>
    </row>
    <row r="10" spans="1:10" x14ac:dyDescent="0.3">
      <c r="A10">
        <v>105</v>
      </c>
      <c r="B10" t="s">
        <v>1079</v>
      </c>
      <c r="C10" t="s">
        <v>404</v>
      </c>
      <c r="D10" t="s">
        <v>226</v>
      </c>
      <c r="E10" t="s">
        <v>256</v>
      </c>
      <c r="F10">
        <v>68000</v>
      </c>
      <c r="G10" t="s">
        <v>945</v>
      </c>
      <c r="H10">
        <v>4.3</v>
      </c>
      <c r="I10" t="s">
        <v>1080</v>
      </c>
      <c r="J10" t="s">
        <v>931</v>
      </c>
    </row>
    <row r="11" spans="1:10" x14ac:dyDescent="0.3">
      <c r="A11">
        <v>106</v>
      </c>
      <c r="B11" t="s">
        <v>1081</v>
      </c>
      <c r="C11" t="s">
        <v>400</v>
      </c>
      <c r="D11" t="s">
        <v>150</v>
      </c>
      <c r="E11" t="s">
        <v>261</v>
      </c>
      <c r="F11">
        <v>47000</v>
      </c>
      <c r="G11" t="s">
        <v>953</v>
      </c>
      <c r="H11">
        <v>3.7</v>
      </c>
      <c r="I11" t="s">
        <v>1082</v>
      </c>
      <c r="J11" t="s">
        <v>931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C645-59D3-454D-BE5E-D3E23770DF61}">
  <dimension ref="A1:E21"/>
  <sheetViews>
    <sheetView workbookViewId="0">
      <selection activeCell="E4" sqref="E4"/>
    </sheetView>
  </sheetViews>
  <sheetFormatPr defaultRowHeight="14.4" x14ac:dyDescent="0.3"/>
  <cols>
    <col min="5" max="5" width="13.6640625" bestFit="1" customWidth="1"/>
  </cols>
  <sheetData>
    <row r="1" spans="1:5" x14ac:dyDescent="0.3">
      <c r="A1" t="s">
        <v>1083</v>
      </c>
      <c r="B1" t="s">
        <v>1</v>
      </c>
      <c r="C1" t="s">
        <v>1084</v>
      </c>
      <c r="D1" t="s">
        <v>1085</v>
      </c>
      <c r="E1" s="20" t="s">
        <v>1086</v>
      </c>
    </row>
    <row r="2" spans="1:5" x14ac:dyDescent="0.3">
      <c r="A2">
        <v>1</v>
      </c>
      <c r="B2" t="s">
        <v>399</v>
      </c>
      <c r="C2">
        <v>25</v>
      </c>
      <c r="D2" t="s">
        <v>1087</v>
      </c>
      <c r="E2" s="21">
        <v>9876543210</v>
      </c>
    </row>
    <row r="3" spans="1:5" x14ac:dyDescent="0.3">
      <c r="A3">
        <v>2</v>
      </c>
      <c r="B3" t="s">
        <v>403</v>
      </c>
      <c r="C3">
        <v>28</v>
      </c>
      <c r="D3" t="s">
        <v>1088</v>
      </c>
      <c r="E3">
        <v>9876543211</v>
      </c>
    </row>
    <row r="4" spans="1:5" x14ac:dyDescent="0.3">
      <c r="A4">
        <v>3</v>
      </c>
      <c r="B4" t="s">
        <v>407</v>
      </c>
      <c r="C4">
        <v>30</v>
      </c>
      <c r="D4" t="s">
        <v>1089</v>
      </c>
      <c r="E4" s="21" t="s">
        <v>947</v>
      </c>
    </row>
    <row r="5" spans="1:5" x14ac:dyDescent="0.3">
      <c r="A5">
        <v>4</v>
      </c>
      <c r="B5" t="s">
        <v>1090</v>
      </c>
      <c r="C5">
        <v>26</v>
      </c>
      <c r="D5" t="s">
        <v>1091</v>
      </c>
      <c r="E5" s="21" t="s">
        <v>955</v>
      </c>
    </row>
    <row r="6" spans="1:5" x14ac:dyDescent="0.3">
      <c r="A6">
        <v>5</v>
      </c>
      <c r="B6" t="s">
        <v>1092</v>
      </c>
      <c r="C6">
        <v>32</v>
      </c>
      <c r="D6" t="s">
        <v>1093</v>
      </c>
      <c r="E6" s="21" t="s">
        <v>961</v>
      </c>
    </row>
    <row r="7" spans="1:5" x14ac:dyDescent="0.3">
      <c r="A7">
        <v>6</v>
      </c>
      <c r="B7" t="s">
        <v>1094</v>
      </c>
      <c r="C7">
        <v>29</v>
      </c>
      <c r="D7" t="s">
        <v>1095</v>
      </c>
      <c r="E7" s="21" t="s">
        <v>971</v>
      </c>
    </row>
    <row r="8" spans="1:5" x14ac:dyDescent="0.3">
      <c r="A8">
        <v>7</v>
      </c>
      <c r="B8" t="s">
        <v>1096</v>
      </c>
      <c r="C8">
        <v>24</v>
      </c>
      <c r="D8" t="s">
        <v>1097</v>
      </c>
      <c r="E8" s="21" t="s">
        <v>980</v>
      </c>
    </row>
    <row r="9" spans="1:5" x14ac:dyDescent="0.3">
      <c r="A9">
        <v>8</v>
      </c>
      <c r="B9" t="s">
        <v>1098</v>
      </c>
      <c r="C9">
        <v>35</v>
      </c>
      <c r="D9" t="s">
        <v>1099</v>
      </c>
      <c r="E9" s="21">
        <v>9876543217</v>
      </c>
    </row>
    <row r="10" spans="1:5" x14ac:dyDescent="0.3">
      <c r="A10">
        <v>9</v>
      </c>
      <c r="B10" t="s">
        <v>1100</v>
      </c>
      <c r="C10">
        <v>27</v>
      </c>
      <c r="D10" t="s">
        <v>1101</v>
      </c>
      <c r="E10" s="21" t="s">
        <v>996</v>
      </c>
    </row>
    <row r="11" spans="1:5" x14ac:dyDescent="0.3">
      <c r="A11">
        <v>10</v>
      </c>
      <c r="B11" t="s">
        <v>1102</v>
      </c>
      <c r="C11">
        <v>31</v>
      </c>
      <c r="D11" t="s">
        <v>1103</v>
      </c>
      <c r="E11" s="21" t="s">
        <v>1002</v>
      </c>
    </row>
    <row r="12" spans="1:5" x14ac:dyDescent="0.3">
      <c r="A12">
        <v>11</v>
      </c>
      <c r="B12" t="s">
        <v>1104</v>
      </c>
      <c r="C12">
        <v>26</v>
      </c>
      <c r="D12" t="s">
        <v>1105</v>
      </c>
      <c r="E12" s="21" t="s">
        <v>1106</v>
      </c>
    </row>
    <row r="13" spans="1:5" x14ac:dyDescent="0.3">
      <c r="A13">
        <v>12</v>
      </c>
      <c r="B13" t="s">
        <v>1107</v>
      </c>
      <c r="C13">
        <v>34</v>
      </c>
      <c r="D13" t="s">
        <v>1108</v>
      </c>
      <c r="E13" s="21" t="s">
        <v>1109</v>
      </c>
    </row>
    <row r="14" spans="1:5" x14ac:dyDescent="0.3">
      <c r="A14">
        <v>13</v>
      </c>
      <c r="B14" t="s">
        <v>1110</v>
      </c>
      <c r="C14">
        <v>28</v>
      </c>
      <c r="D14" t="s">
        <v>1111</v>
      </c>
      <c r="E14" s="21" t="s">
        <v>1112</v>
      </c>
    </row>
    <row r="15" spans="1:5" x14ac:dyDescent="0.3">
      <c r="A15">
        <v>14</v>
      </c>
      <c r="B15" t="s">
        <v>1113</v>
      </c>
      <c r="C15">
        <v>36</v>
      </c>
      <c r="D15" t="s">
        <v>1114</v>
      </c>
      <c r="E15" s="21" t="s">
        <v>1115</v>
      </c>
    </row>
    <row r="16" spans="1:5" x14ac:dyDescent="0.3">
      <c r="A16">
        <v>15</v>
      </c>
      <c r="B16" t="s">
        <v>1116</v>
      </c>
      <c r="C16">
        <v>29</v>
      </c>
      <c r="D16" t="s">
        <v>1117</v>
      </c>
      <c r="E16" s="21" t="s">
        <v>1118</v>
      </c>
    </row>
    <row r="17" spans="1:5" x14ac:dyDescent="0.3">
      <c r="A17">
        <v>16</v>
      </c>
      <c r="B17" t="s">
        <v>1119</v>
      </c>
      <c r="C17">
        <v>33</v>
      </c>
      <c r="D17" t="s">
        <v>1120</v>
      </c>
      <c r="E17" s="21" t="s">
        <v>1121</v>
      </c>
    </row>
    <row r="18" spans="1:5" x14ac:dyDescent="0.3">
      <c r="A18">
        <v>17</v>
      </c>
      <c r="B18" t="s">
        <v>1122</v>
      </c>
      <c r="C18">
        <v>25</v>
      </c>
      <c r="D18" t="s">
        <v>1123</v>
      </c>
      <c r="E18" s="21" t="s">
        <v>1124</v>
      </c>
    </row>
    <row r="19" spans="1:5" x14ac:dyDescent="0.3">
      <c r="A19">
        <v>18</v>
      </c>
      <c r="B19" t="s">
        <v>1125</v>
      </c>
      <c r="C19">
        <v>37</v>
      </c>
      <c r="D19" t="s">
        <v>1126</v>
      </c>
      <c r="E19" s="21" t="s">
        <v>1127</v>
      </c>
    </row>
    <row r="20" spans="1:5" x14ac:dyDescent="0.3">
      <c r="A20">
        <v>19</v>
      </c>
      <c r="B20" t="s">
        <v>1128</v>
      </c>
      <c r="C20">
        <v>27</v>
      </c>
      <c r="D20" t="s">
        <v>1129</v>
      </c>
      <c r="E20" s="21" t="s">
        <v>1130</v>
      </c>
    </row>
    <row r="21" spans="1:5" x14ac:dyDescent="0.3">
      <c r="A21">
        <v>20</v>
      </c>
      <c r="B21" t="s">
        <v>1131</v>
      </c>
      <c r="C21">
        <v>40</v>
      </c>
      <c r="D21" t="s">
        <v>1132</v>
      </c>
      <c r="E21" s="21" t="s">
        <v>1133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0F222-A485-40C2-8A9A-445709B2CF3E}">
  <dimension ref="A1:F75"/>
  <sheetViews>
    <sheetView workbookViewId="0">
      <selection sqref="A1:F75"/>
    </sheetView>
  </sheetViews>
  <sheetFormatPr defaultRowHeight="14.4" x14ac:dyDescent="0.3"/>
  <cols>
    <col min="2" max="2" width="11" customWidth="1"/>
    <col min="3" max="3" width="11.77734375" customWidth="1"/>
    <col min="4" max="4" width="9.88671875" customWidth="1"/>
    <col min="5" max="5" width="11.33203125" customWidth="1"/>
    <col min="6" max="6" width="16" customWidth="1"/>
  </cols>
  <sheetData>
    <row r="1" spans="1:6" x14ac:dyDescent="0.3">
      <c r="A1" t="s">
        <v>1134</v>
      </c>
      <c r="B1" t="s">
        <v>1135</v>
      </c>
      <c r="C1" t="s">
        <v>1136</v>
      </c>
      <c r="D1" t="s">
        <v>1137</v>
      </c>
      <c r="E1" t="s">
        <v>1138</v>
      </c>
      <c r="F1" t="s">
        <v>1139</v>
      </c>
    </row>
    <row r="2" spans="1:6" x14ac:dyDescent="0.3">
      <c r="A2">
        <v>1234</v>
      </c>
      <c r="B2" t="s">
        <v>1140</v>
      </c>
      <c r="C2">
        <v>10006</v>
      </c>
      <c r="D2">
        <v>1904</v>
      </c>
      <c r="E2">
        <v>32</v>
      </c>
      <c r="F2" s="11">
        <v>44562</v>
      </c>
    </row>
    <row r="3" spans="1:6" x14ac:dyDescent="0.3">
      <c r="A3">
        <v>9876</v>
      </c>
      <c r="B3" t="s">
        <v>1141</v>
      </c>
      <c r="C3">
        <v>10005</v>
      </c>
      <c r="D3">
        <v>3966</v>
      </c>
      <c r="E3">
        <v>68</v>
      </c>
      <c r="F3" s="11">
        <v>44563</v>
      </c>
    </row>
    <row r="4" spans="1:6" x14ac:dyDescent="0.3">
      <c r="A4">
        <v>2468</v>
      </c>
      <c r="B4" t="s">
        <v>1142</v>
      </c>
      <c r="C4">
        <v>10004</v>
      </c>
      <c r="D4">
        <v>7348</v>
      </c>
      <c r="E4">
        <v>69</v>
      </c>
      <c r="F4" s="11">
        <v>44564</v>
      </c>
    </row>
    <row r="5" spans="1:6" x14ac:dyDescent="0.3">
      <c r="A5">
        <v>1357</v>
      </c>
      <c r="B5" t="s">
        <v>1143</v>
      </c>
      <c r="C5">
        <v>10005</v>
      </c>
      <c r="D5">
        <v>2409</v>
      </c>
      <c r="E5">
        <v>48</v>
      </c>
      <c r="F5" s="11">
        <v>44565</v>
      </c>
    </row>
    <row r="6" spans="1:6" x14ac:dyDescent="0.3">
      <c r="A6">
        <v>1234</v>
      </c>
      <c r="B6" t="s">
        <v>1140</v>
      </c>
      <c r="C6">
        <v>10010</v>
      </c>
      <c r="D6">
        <v>2045</v>
      </c>
      <c r="E6">
        <v>70</v>
      </c>
      <c r="F6" s="11">
        <v>44566</v>
      </c>
    </row>
    <row r="7" spans="1:6" x14ac:dyDescent="0.3">
      <c r="A7">
        <v>9876</v>
      </c>
      <c r="B7" t="s">
        <v>1141</v>
      </c>
      <c r="C7">
        <v>10008</v>
      </c>
      <c r="D7">
        <v>9151</v>
      </c>
      <c r="E7">
        <v>6</v>
      </c>
      <c r="F7" s="11">
        <v>44567</v>
      </c>
    </row>
    <row r="8" spans="1:6" x14ac:dyDescent="0.3">
      <c r="A8">
        <v>2468</v>
      </c>
      <c r="B8" t="s">
        <v>1142</v>
      </c>
      <c r="C8">
        <v>10003</v>
      </c>
      <c r="D8">
        <v>1065</v>
      </c>
      <c r="E8">
        <v>59</v>
      </c>
      <c r="F8" s="11">
        <v>44568</v>
      </c>
    </row>
    <row r="9" spans="1:6" x14ac:dyDescent="0.3">
      <c r="A9">
        <v>1357</v>
      </c>
      <c r="B9" t="s">
        <v>1143</v>
      </c>
      <c r="C9">
        <v>10003</v>
      </c>
      <c r="D9">
        <v>3780</v>
      </c>
      <c r="E9">
        <v>72</v>
      </c>
      <c r="F9" s="11">
        <v>44569</v>
      </c>
    </row>
    <row r="10" spans="1:6" x14ac:dyDescent="0.3">
      <c r="A10">
        <v>1234</v>
      </c>
      <c r="B10" t="s">
        <v>1140</v>
      </c>
      <c r="C10">
        <v>10001</v>
      </c>
      <c r="D10">
        <v>1043</v>
      </c>
      <c r="E10">
        <v>67</v>
      </c>
      <c r="F10" s="11">
        <v>44570</v>
      </c>
    </row>
    <row r="11" spans="1:6" x14ac:dyDescent="0.3">
      <c r="A11">
        <v>9876</v>
      </c>
      <c r="B11" t="s">
        <v>1141</v>
      </c>
      <c r="C11">
        <v>10007</v>
      </c>
      <c r="D11">
        <v>7075</v>
      </c>
      <c r="E11">
        <v>7</v>
      </c>
      <c r="F11" s="11">
        <v>44571</v>
      </c>
    </row>
    <row r="12" spans="1:6" x14ac:dyDescent="0.3">
      <c r="A12">
        <v>2468</v>
      </c>
      <c r="B12" t="s">
        <v>1142</v>
      </c>
      <c r="C12">
        <v>10001</v>
      </c>
      <c r="D12">
        <v>6778</v>
      </c>
      <c r="E12">
        <v>23</v>
      </c>
      <c r="F12" s="11">
        <v>44572</v>
      </c>
    </row>
    <row r="13" spans="1:6" x14ac:dyDescent="0.3">
      <c r="A13">
        <v>1357</v>
      </c>
      <c r="B13" t="s">
        <v>1143</v>
      </c>
      <c r="C13">
        <v>10008</v>
      </c>
      <c r="D13">
        <v>3572</v>
      </c>
      <c r="E13">
        <v>56</v>
      </c>
      <c r="F13" s="11">
        <v>44573</v>
      </c>
    </row>
    <row r="14" spans="1:6" x14ac:dyDescent="0.3">
      <c r="A14">
        <v>1234</v>
      </c>
      <c r="B14" t="s">
        <v>1140</v>
      </c>
      <c r="C14">
        <v>10006</v>
      </c>
      <c r="D14">
        <v>4033</v>
      </c>
      <c r="E14">
        <v>51</v>
      </c>
      <c r="F14" s="11">
        <v>44574</v>
      </c>
    </row>
    <row r="15" spans="1:6" x14ac:dyDescent="0.3">
      <c r="A15">
        <v>9876</v>
      </c>
      <c r="B15" t="s">
        <v>1141</v>
      </c>
      <c r="C15">
        <v>10005</v>
      </c>
      <c r="D15">
        <v>2073</v>
      </c>
      <c r="E15">
        <v>2</v>
      </c>
      <c r="F15" s="11">
        <v>44575</v>
      </c>
    </row>
    <row r="16" spans="1:6" x14ac:dyDescent="0.3">
      <c r="A16">
        <v>2468</v>
      </c>
      <c r="B16" t="s">
        <v>1142</v>
      </c>
      <c r="C16">
        <v>10010</v>
      </c>
      <c r="D16">
        <v>7333</v>
      </c>
      <c r="E16">
        <v>45</v>
      </c>
      <c r="F16" s="11">
        <v>44576</v>
      </c>
    </row>
    <row r="17" spans="1:6" x14ac:dyDescent="0.3">
      <c r="A17">
        <v>1357</v>
      </c>
      <c r="B17" t="s">
        <v>1143</v>
      </c>
      <c r="C17">
        <v>10005</v>
      </c>
      <c r="D17">
        <v>3352</v>
      </c>
      <c r="E17">
        <v>13</v>
      </c>
      <c r="F17" s="11">
        <v>44577</v>
      </c>
    </row>
    <row r="18" spans="1:6" x14ac:dyDescent="0.3">
      <c r="A18">
        <v>1234</v>
      </c>
      <c r="B18" t="s">
        <v>1140</v>
      </c>
      <c r="C18">
        <v>10003</v>
      </c>
      <c r="D18">
        <v>2078</v>
      </c>
      <c r="E18">
        <v>4</v>
      </c>
      <c r="F18" s="11">
        <v>44578</v>
      </c>
    </row>
    <row r="19" spans="1:6" x14ac:dyDescent="0.3">
      <c r="A19">
        <v>1234</v>
      </c>
      <c r="B19" t="s">
        <v>1140</v>
      </c>
      <c r="C19">
        <v>10005</v>
      </c>
      <c r="D19">
        <v>7616</v>
      </c>
      <c r="E19">
        <v>78</v>
      </c>
      <c r="F19" s="11">
        <v>44579</v>
      </c>
    </row>
    <row r="20" spans="1:6" x14ac:dyDescent="0.3">
      <c r="A20">
        <v>9876</v>
      </c>
      <c r="B20" t="s">
        <v>1141</v>
      </c>
      <c r="C20">
        <v>10009</v>
      </c>
      <c r="D20">
        <v>6762</v>
      </c>
      <c r="E20">
        <v>70</v>
      </c>
      <c r="F20" s="11">
        <v>44580</v>
      </c>
    </row>
    <row r="21" spans="1:6" x14ac:dyDescent="0.3">
      <c r="A21">
        <v>2468</v>
      </c>
      <c r="B21" t="s">
        <v>1142</v>
      </c>
      <c r="C21">
        <v>10005</v>
      </c>
      <c r="D21">
        <v>4556</v>
      </c>
      <c r="E21">
        <v>4</v>
      </c>
      <c r="F21" s="11">
        <v>44581</v>
      </c>
    </row>
    <row r="22" spans="1:6" x14ac:dyDescent="0.3">
      <c r="A22">
        <v>1357</v>
      </c>
      <c r="B22" t="s">
        <v>1143</v>
      </c>
      <c r="C22">
        <v>10008</v>
      </c>
      <c r="D22">
        <v>2659</v>
      </c>
      <c r="E22">
        <v>73</v>
      </c>
      <c r="F22" s="11">
        <v>44582</v>
      </c>
    </row>
    <row r="23" spans="1:6" x14ac:dyDescent="0.3">
      <c r="A23">
        <v>1234</v>
      </c>
      <c r="B23" t="s">
        <v>1140</v>
      </c>
      <c r="C23">
        <v>10005</v>
      </c>
      <c r="D23">
        <v>5020</v>
      </c>
      <c r="E23">
        <v>30</v>
      </c>
      <c r="F23" s="11">
        <v>44583</v>
      </c>
    </row>
    <row r="24" spans="1:6" x14ac:dyDescent="0.3">
      <c r="A24">
        <v>9876</v>
      </c>
      <c r="B24" t="s">
        <v>1141</v>
      </c>
      <c r="C24">
        <v>10009</v>
      </c>
      <c r="D24">
        <v>3887</v>
      </c>
      <c r="E24">
        <v>49</v>
      </c>
      <c r="F24" s="11">
        <v>44584</v>
      </c>
    </row>
    <row r="25" spans="1:6" x14ac:dyDescent="0.3">
      <c r="A25">
        <v>2468</v>
      </c>
      <c r="B25" t="s">
        <v>1142</v>
      </c>
      <c r="C25">
        <v>10001</v>
      </c>
      <c r="D25">
        <v>1341</v>
      </c>
      <c r="E25">
        <v>66</v>
      </c>
      <c r="F25" s="11">
        <v>44585</v>
      </c>
    </row>
    <row r="26" spans="1:6" x14ac:dyDescent="0.3">
      <c r="A26">
        <v>1357</v>
      </c>
      <c r="B26" t="s">
        <v>1143</v>
      </c>
      <c r="C26">
        <v>10006</v>
      </c>
      <c r="D26">
        <v>8459</v>
      </c>
      <c r="E26">
        <v>4</v>
      </c>
      <c r="F26" s="11">
        <v>44586</v>
      </c>
    </row>
    <row r="27" spans="1:6" x14ac:dyDescent="0.3">
      <c r="A27">
        <v>1234</v>
      </c>
      <c r="B27" t="s">
        <v>1140</v>
      </c>
      <c r="C27">
        <v>10001</v>
      </c>
      <c r="D27">
        <v>7175</v>
      </c>
      <c r="E27">
        <v>5</v>
      </c>
      <c r="F27" s="11">
        <v>44587</v>
      </c>
    </row>
    <row r="28" spans="1:6" x14ac:dyDescent="0.3">
      <c r="A28">
        <v>9876</v>
      </c>
      <c r="B28" t="s">
        <v>1141</v>
      </c>
      <c r="C28">
        <v>10009</v>
      </c>
      <c r="D28">
        <v>4267</v>
      </c>
      <c r="E28">
        <v>71</v>
      </c>
      <c r="F28" s="11">
        <v>44588</v>
      </c>
    </row>
    <row r="29" spans="1:6" x14ac:dyDescent="0.3">
      <c r="A29">
        <v>2468</v>
      </c>
      <c r="B29" t="s">
        <v>1142</v>
      </c>
      <c r="C29">
        <v>10007</v>
      </c>
      <c r="D29">
        <v>1157</v>
      </c>
      <c r="E29">
        <v>57</v>
      </c>
      <c r="F29" s="11">
        <v>44589</v>
      </c>
    </row>
    <row r="30" spans="1:6" x14ac:dyDescent="0.3">
      <c r="A30">
        <v>1357</v>
      </c>
      <c r="B30" t="s">
        <v>1143</v>
      </c>
      <c r="C30">
        <v>10008</v>
      </c>
      <c r="D30">
        <v>1753</v>
      </c>
      <c r="E30">
        <v>9</v>
      </c>
      <c r="F30" s="11">
        <v>44590</v>
      </c>
    </row>
    <row r="31" spans="1:6" x14ac:dyDescent="0.3">
      <c r="A31">
        <v>1234</v>
      </c>
      <c r="B31" t="s">
        <v>1140</v>
      </c>
      <c r="C31">
        <v>10006</v>
      </c>
      <c r="D31">
        <v>1913</v>
      </c>
      <c r="E31">
        <v>16</v>
      </c>
      <c r="F31" s="11">
        <v>44591</v>
      </c>
    </row>
    <row r="32" spans="1:6" x14ac:dyDescent="0.3">
      <c r="A32">
        <v>1234</v>
      </c>
      <c r="B32" t="s">
        <v>1140</v>
      </c>
      <c r="C32">
        <v>10007</v>
      </c>
      <c r="D32">
        <v>4133</v>
      </c>
      <c r="E32">
        <v>46</v>
      </c>
      <c r="F32" s="11">
        <v>44592</v>
      </c>
    </row>
    <row r="33" spans="1:6" x14ac:dyDescent="0.3">
      <c r="A33">
        <v>1234</v>
      </c>
      <c r="B33" t="s">
        <v>1140</v>
      </c>
      <c r="C33">
        <v>10007</v>
      </c>
      <c r="D33">
        <v>9562</v>
      </c>
      <c r="E33">
        <v>50</v>
      </c>
      <c r="F33" s="11">
        <v>44593</v>
      </c>
    </row>
    <row r="34" spans="1:6" x14ac:dyDescent="0.3">
      <c r="A34">
        <v>9876</v>
      </c>
      <c r="B34" t="s">
        <v>1141</v>
      </c>
      <c r="C34">
        <v>10008</v>
      </c>
      <c r="D34">
        <v>3075</v>
      </c>
      <c r="E34">
        <v>11</v>
      </c>
      <c r="F34" s="11">
        <v>44594</v>
      </c>
    </row>
    <row r="35" spans="1:6" x14ac:dyDescent="0.3">
      <c r="A35">
        <v>2468</v>
      </c>
      <c r="B35" t="s">
        <v>1142</v>
      </c>
      <c r="C35">
        <v>10003</v>
      </c>
      <c r="D35">
        <v>7854</v>
      </c>
      <c r="E35">
        <v>66</v>
      </c>
      <c r="F35" s="11">
        <v>44595</v>
      </c>
    </row>
    <row r="36" spans="1:6" x14ac:dyDescent="0.3">
      <c r="A36">
        <v>1357</v>
      </c>
      <c r="B36" t="s">
        <v>1143</v>
      </c>
      <c r="C36">
        <v>10005</v>
      </c>
      <c r="D36">
        <v>9057</v>
      </c>
      <c r="E36">
        <v>55</v>
      </c>
      <c r="F36" s="11">
        <v>44596</v>
      </c>
    </row>
    <row r="37" spans="1:6" x14ac:dyDescent="0.3">
      <c r="A37">
        <v>1234</v>
      </c>
      <c r="B37" t="s">
        <v>1140</v>
      </c>
      <c r="C37">
        <v>10002</v>
      </c>
      <c r="D37">
        <v>5779</v>
      </c>
      <c r="E37">
        <v>32</v>
      </c>
      <c r="F37" s="11">
        <v>44597</v>
      </c>
    </row>
    <row r="38" spans="1:6" x14ac:dyDescent="0.3">
      <c r="A38">
        <v>9876</v>
      </c>
      <c r="B38" t="s">
        <v>1141</v>
      </c>
      <c r="C38">
        <v>10001</v>
      </c>
      <c r="D38">
        <v>3587</v>
      </c>
      <c r="E38">
        <v>48</v>
      </c>
      <c r="F38" s="11">
        <v>44598</v>
      </c>
    </row>
    <row r="39" spans="1:6" x14ac:dyDescent="0.3">
      <c r="A39">
        <v>2468</v>
      </c>
      <c r="B39" t="s">
        <v>1142</v>
      </c>
      <c r="C39">
        <v>10007</v>
      </c>
      <c r="D39">
        <v>3718</v>
      </c>
      <c r="E39">
        <v>58</v>
      </c>
      <c r="F39" s="11">
        <v>44599</v>
      </c>
    </row>
    <row r="40" spans="1:6" x14ac:dyDescent="0.3">
      <c r="A40">
        <v>1357</v>
      </c>
      <c r="B40" t="s">
        <v>1143</v>
      </c>
      <c r="C40">
        <v>10005</v>
      </c>
      <c r="D40">
        <v>1875</v>
      </c>
      <c r="E40">
        <v>19</v>
      </c>
      <c r="F40" s="11">
        <v>44600</v>
      </c>
    </row>
    <row r="41" spans="1:6" x14ac:dyDescent="0.3">
      <c r="A41">
        <v>1234</v>
      </c>
      <c r="B41" t="s">
        <v>1140</v>
      </c>
      <c r="C41">
        <v>10005</v>
      </c>
      <c r="D41">
        <v>8526</v>
      </c>
      <c r="E41">
        <v>54</v>
      </c>
      <c r="F41" s="11">
        <v>44601</v>
      </c>
    </row>
    <row r="42" spans="1:6" x14ac:dyDescent="0.3">
      <c r="A42">
        <v>9876</v>
      </c>
      <c r="B42" t="s">
        <v>1141</v>
      </c>
      <c r="C42">
        <v>10010</v>
      </c>
      <c r="D42">
        <v>7274</v>
      </c>
      <c r="E42">
        <v>60</v>
      </c>
      <c r="F42" s="11">
        <v>44602</v>
      </c>
    </row>
    <row r="43" spans="1:6" x14ac:dyDescent="0.3">
      <c r="A43">
        <v>2468</v>
      </c>
      <c r="B43" t="s">
        <v>1142</v>
      </c>
      <c r="C43">
        <v>10003</v>
      </c>
      <c r="D43">
        <v>4500</v>
      </c>
      <c r="E43">
        <v>19</v>
      </c>
      <c r="F43" s="11">
        <v>44603</v>
      </c>
    </row>
    <row r="44" spans="1:6" x14ac:dyDescent="0.3">
      <c r="A44">
        <v>1357</v>
      </c>
      <c r="B44" t="s">
        <v>1143</v>
      </c>
      <c r="C44">
        <v>10004</v>
      </c>
      <c r="D44">
        <v>3789</v>
      </c>
      <c r="E44">
        <v>4</v>
      </c>
      <c r="F44" s="11">
        <v>44604</v>
      </c>
    </row>
    <row r="45" spans="1:6" x14ac:dyDescent="0.3">
      <c r="A45">
        <v>1234</v>
      </c>
      <c r="B45" t="s">
        <v>1140</v>
      </c>
      <c r="C45">
        <v>10010</v>
      </c>
      <c r="D45">
        <v>3665</v>
      </c>
      <c r="E45">
        <v>76</v>
      </c>
      <c r="F45" s="11">
        <v>44605</v>
      </c>
    </row>
    <row r="46" spans="1:6" x14ac:dyDescent="0.3">
      <c r="A46">
        <v>9876</v>
      </c>
      <c r="B46" t="s">
        <v>1141</v>
      </c>
      <c r="C46">
        <v>10006</v>
      </c>
      <c r="D46">
        <v>9760</v>
      </c>
      <c r="E46">
        <v>26</v>
      </c>
      <c r="F46" s="11">
        <v>44606</v>
      </c>
    </row>
    <row r="47" spans="1:6" x14ac:dyDescent="0.3">
      <c r="A47">
        <v>2468</v>
      </c>
      <c r="B47" t="s">
        <v>1142</v>
      </c>
      <c r="C47">
        <v>10003</v>
      </c>
      <c r="D47">
        <v>5432</v>
      </c>
      <c r="E47">
        <v>35</v>
      </c>
      <c r="F47" s="11">
        <v>44607</v>
      </c>
    </row>
    <row r="48" spans="1:6" x14ac:dyDescent="0.3">
      <c r="A48">
        <v>1357</v>
      </c>
      <c r="B48" t="s">
        <v>1143</v>
      </c>
      <c r="C48">
        <v>10008</v>
      </c>
      <c r="D48">
        <v>6035</v>
      </c>
      <c r="E48">
        <v>67</v>
      </c>
      <c r="F48" s="11">
        <v>44608</v>
      </c>
    </row>
    <row r="49" spans="1:6" x14ac:dyDescent="0.3">
      <c r="A49">
        <v>1234</v>
      </c>
      <c r="B49" t="s">
        <v>1140</v>
      </c>
      <c r="C49">
        <v>10003</v>
      </c>
      <c r="D49">
        <v>3522</v>
      </c>
      <c r="E49">
        <v>27</v>
      </c>
      <c r="F49" s="11">
        <v>44609</v>
      </c>
    </row>
    <row r="50" spans="1:6" x14ac:dyDescent="0.3">
      <c r="A50">
        <v>9876</v>
      </c>
      <c r="B50" t="s">
        <v>1141</v>
      </c>
      <c r="C50">
        <v>10007</v>
      </c>
      <c r="D50">
        <v>9305</v>
      </c>
      <c r="E50">
        <v>6</v>
      </c>
      <c r="F50" s="11">
        <v>44610</v>
      </c>
    </row>
    <row r="51" spans="1:6" x14ac:dyDescent="0.3">
      <c r="A51">
        <v>2468</v>
      </c>
      <c r="B51" t="s">
        <v>1142</v>
      </c>
      <c r="C51">
        <v>10005</v>
      </c>
      <c r="D51">
        <v>1436</v>
      </c>
      <c r="E51">
        <v>41</v>
      </c>
      <c r="F51" s="11">
        <v>44611</v>
      </c>
    </row>
    <row r="52" spans="1:6" x14ac:dyDescent="0.3">
      <c r="A52">
        <v>1357</v>
      </c>
      <c r="B52" t="s">
        <v>1143</v>
      </c>
      <c r="C52">
        <v>10008</v>
      </c>
      <c r="D52">
        <v>9814</v>
      </c>
      <c r="E52">
        <v>36</v>
      </c>
      <c r="F52" s="11">
        <v>44612</v>
      </c>
    </row>
    <row r="53" spans="1:6" x14ac:dyDescent="0.3">
      <c r="A53">
        <v>1234</v>
      </c>
      <c r="B53" t="s">
        <v>1140</v>
      </c>
      <c r="C53">
        <v>10008</v>
      </c>
      <c r="D53">
        <v>8032</v>
      </c>
      <c r="E53">
        <v>75</v>
      </c>
      <c r="F53" s="11">
        <v>44613</v>
      </c>
    </row>
    <row r="54" spans="1:6" x14ac:dyDescent="0.3">
      <c r="A54">
        <v>9876</v>
      </c>
      <c r="B54" t="s">
        <v>1141</v>
      </c>
      <c r="C54">
        <v>10008</v>
      </c>
      <c r="D54">
        <v>7580</v>
      </c>
      <c r="E54">
        <v>32</v>
      </c>
      <c r="F54" s="11">
        <v>44614</v>
      </c>
    </row>
    <row r="55" spans="1:6" x14ac:dyDescent="0.3">
      <c r="A55">
        <v>2468</v>
      </c>
      <c r="B55" t="s">
        <v>1142</v>
      </c>
      <c r="C55">
        <v>10003</v>
      </c>
      <c r="D55">
        <v>5730</v>
      </c>
      <c r="E55">
        <v>42</v>
      </c>
      <c r="F55" s="11">
        <v>44615</v>
      </c>
    </row>
    <row r="56" spans="1:6" x14ac:dyDescent="0.3">
      <c r="A56">
        <v>1357</v>
      </c>
      <c r="B56" t="s">
        <v>1143</v>
      </c>
      <c r="C56">
        <v>10010</v>
      </c>
      <c r="D56">
        <v>5818</v>
      </c>
      <c r="E56">
        <v>5</v>
      </c>
      <c r="F56" s="11">
        <v>44616</v>
      </c>
    </row>
    <row r="57" spans="1:6" x14ac:dyDescent="0.3">
      <c r="A57">
        <v>1234</v>
      </c>
      <c r="B57" t="s">
        <v>1140</v>
      </c>
      <c r="C57">
        <v>10010</v>
      </c>
      <c r="D57">
        <v>2462</v>
      </c>
      <c r="E57">
        <v>10</v>
      </c>
      <c r="F57" s="11">
        <v>44617</v>
      </c>
    </row>
    <row r="58" spans="1:6" x14ac:dyDescent="0.3">
      <c r="A58">
        <v>9876</v>
      </c>
      <c r="B58" t="s">
        <v>1141</v>
      </c>
      <c r="C58">
        <v>10001</v>
      </c>
      <c r="D58">
        <v>5989</v>
      </c>
      <c r="E58">
        <v>70</v>
      </c>
      <c r="F58" s="11">
        <v>44618</v>
      </c>
    </row>
    <row r="59" spans="1:6" x14ac:dyDescent="0.3">
      <c r="A59">
        <v>2468</v>
      </c>
      <c r="B59" t="s">
        <v>1142</v>
      </c>
      <c r="C59">
        <v>10002</v>
      </c>
      <c r="D59">
        <v>6153</v>
      </c>
      <c r="E59">
        <v>45</v>
      </c>
      <c r="F59" s="11">
        <v>44619</v>
      </c>
    </row>
    <row r="60" spans="1:6" x14ac:dyDescent="0.3">
      <c r="A60">
        <v>1357</v>
      </c>
      <c r="B60" t="s">
        <v>1143</v>
      </c>
      <c r="C60">
        <v>10006</v>
      </c>
      <c r="D60">
        <v>4606</v>
      </c>
      <c r="E60">
        <v>53</v>
      </c>
      <c r="F60" s="11">
        <v>44620</v>
      </c>
    </row>
    <row r="61" spans="1:6" x14ac:dyDescent="0.3">
      <c r="A61">
        <v>1234</v>
      </c>
      <c r="B61" t="s">
        <v>1140</v>
      </c>
      <c r="C61">
        <v>10010</v>
      </c>
      <c r="D61">
        <v>2059</v>
      </c>
      <c r="E61">
        <v>54</v>
      </c>
      <c r="F61" s="11">
        <v>44621</v>
      </c>
    </row>
    <row r="62" spans="1:6" x14ac:dyDescent="0.3">
      <c r="A62">
        <v>9876</v>
      </c>
      <c r="B62" t="s">
        <v>1141</v>
      </c>
      <c r="C62">
        <v>10003</v>
      </c>
      <c r="D62">
        <v>8063</v>
      </c>
      <c r="E62">
        <v>26</v>
      </c>
      <c r="F62" s="11">
        <v>44622</v>
      </c>
    </row>
    <row r="63" spans="1:6" x14ac:dyDescent="0.3">
      <c r="A63">
        <v>2468</v>
      </c>
      <c r="B63" t="s">
        <v>1142</v>
      </c>
      <c r="C63">
        <v>10005</v>
      </c>
      <c r="D63">
        <v>4266</v>
      </c>
      <c r="E63">
        <v>41</v>
      </c>
      <c r="F63" s="11">
        <v>44623</v>
      </c>
    </row>
    <row r="64" spans="1:6" x14ac:dyDescent="0.3">
      <c r="A64">
        <v>1357</v>
      </c>
      <c r="B64" t="s">
        <v>1143</v>
      </c>
      <c r="C64">
        <v>10002</v>
      </c>
      <c r="D64">
        <v>7615</v>
      </c>
      <c r="E64">
        <v>54</v>
      </c>
      <c r="F64" s="11">
        <v>44624</v>
      </c>
    </row>
    <row r="65" spans="1:6" x14ac:dyDescent="0.3">
      <c r="A65">
        <v>1234</v>
      </c>
      <c r="B65" t="s">
        <v>1140</v>
      </c>
      <c r="C65">
        <v>10004</v>
      </c>
      <c r="D65">
        <v>4859</v>
      </c>
      <c r="E65">
        <v>55</v>
      </c>
      <c r="F65" s="11">
        <v>44625</v>
      </c>
    </row>
    <row r="66" spans="1:6" x14ac:dyDescent="0.3">
      <c r="A66">
        <v>2468</v>
      </c>
      <c r="B66" t="s">
        <v>1142</v>
      </c>
      <c r="C66">
        <v>10001</v>
      </c>
      <c r="D66">
        <v>7625</v>
      </c>
      <c r="E66">
        <v>17</v>
      </c>
      <c r="F66" s="11">
        <v>44626</v>
      </c>
    </row>
    <row r="67" spans="1:6" x14ac:dyDescent="0.3">
      <c r="A67">
        <v>1234</v>
      </c>
      <c r="B67" t="s">
        <v>1140</v>
      </c>
      <c r="C67">
        <v>10004</v>
      </c>
      <c r="D67">
        <v>9996</v>
      </c>
      <c r="E67">
        <v>23</v>
      </c>
      <c r="F67" s="11">
        <v>44627</v>
      </c>
    </row>
    <row r="68" spans="1:6" x14ac:dyDescent="0.3">
      <c r="A68">
        <v>2468</v>
      </c>
      <c r="B68" t="s">
        <v>1142</v>
      </c>
      <c r="C68">
        <v>10001</v>
      </c>
      <c r="D68">
        <v>6646</v>
      </c>
      <c r="E68">
        <v>48</v>
      </c>
      <c r="F68" s="11">
        <v>44628</v>
      </c>
    </row>
    <row r="69" spans="1:6" x14ac:dyDescent="0.3">
      <c r="A69">
        <v>9876</v>
      </c>
      <c r="B69" t="s">
        <v>1141</v>
      </c>
      <c r="C69">
        <v>10004</v>
      </c>
      <c r="D69">
        <v>8427</v>
      </c>
      <c r="E69">
        <v>61</v>
      </c>
      <c r="F69" s="11">
        <v>44629</v>
      </c>
    </row>
    <row r="70" spans="1:6" x14ac:dyDescent="0.3">
      <c r="A70">
        <v>2468</v>
      </c>
      <c r="B70" t="s">
        <v>1142</v>
      </c>
      <c r="C70">
        <v>10010</v>
      </c>
      <c r="D70">
        <v>2923</v>
      </c>
      <c r="E70">
        <v>23</v>
      </c>
      <c r="F70" s="11">
        <v>44630</v>
      </c>
    </row>
    <row r="71" spans="1:6" x14ac:dyDescent="0.3">
      <c r="A71">
        <v>1357</v>
      </c>
      <c r="B71" t="s">
        <v>1143</v>
      </c>
      <c r="C71">
        <v>10007</v>
      </c>
      <c r="D71">
        <v>6624</v>
      </c>
      <c r="E71">
        <v>41</v>
      </c>
      <c r="F71" s="11">
        <v>44631</v>
      </c>
    </row>
    <row r="72" spans="1:6" x14ac:dyDescent="0.3">
      <c r="A72">
        <v>1234</v>
      </c>
      <c r="B72" t="s">
        <v>1140</v>
      </c>
      <c r="C72">
        <v>10009</v>
      </c>
      <c r="D72">
        <v>4952</v>
      </c>
      <c r="E72">
        <v>37</v>
      </c>
      <c r="F72" s="11">
        <v>44632</v>
      </c>
    </row>
    <row r="73" spans="1:6" x14ac:dyDescent="0.3">
      <c r="A73">
        <v>2468</v>
      </c>
      <c r="B73" t="s">
        <v>1142</v>
      </c>
      <c r="C73">
        <v>10005</v>
      </c>
      <c r="D73">
        <v>9881</v>
      </c>
      <c r="E73">
        <v>24</v>
      </c>
      <c r="F73" s="11">
        <v>44633</v>
      </c>
    </row>
    <row r="74" spans="1:6" x14ac:dyDescent="0.3">
      <c r="A74">
        <v>1234</v>
      </c>
      <c r="B74" t="s">
        <v>1140</v>
      </c>
      <c r="C74">
        <v>10002</v>
      </c>
      <c r="D74">
        <v>4464</v>
      </c>
      <c r="E74">
        <v>59</v>
      </c>
      <c r="F74" s="11">
        <v>44634</v>
      </c>
    </row>
    <row r="75" spans="1:6" x14ac:dyDescent="0.3">
      <c r="A75">
        <v>2468</v>
      </c>
      <c r="B75" t="s">
        <v>1142</v>
      </c>
      <c r="C75">
        <v>10001</v>
      </c>
      <c r="D75">
        <v>2005</v>
      </c>
      <c r="E75">
        <v>46</v>
      </c>
      <c r="F75" s="11">
        <v>44635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2D169-3833-4CF3-9681-B57577F53A7D}">
  <dimension ref="A1:F51"/>
  <sheetViews>
    <sheetView workbookViewId="0">
      <selection sqref="A1:F51"/>
    </sheetView>
  </sheetViews>
  <sheetFormatPr defaultRowHeight="14.4" x14ac:dyDescent="0.3"/>
  <cols>
    <col min="1" max="1" width="10.33203125" bestFit="1" customWidth="1"/>
    <col min="2" max="2" width="21.5546875" bestFit="1" customWidth="1"/>
    <col min="3" max="3" width="16.77734375" bestFit="1" customWidth="1"/>
    <col min="4" max="4" width="7.5546875" bestFit="1" customWidth="1"/>
    <col min="5" max="5" width="6.44140625" bestFit="1" customWidth="1"/>
    <col min="6" max="6" width="13.5546875" bestFit="1" customWidth="1"/>
  </cols>
  <sheetData>
    <row r="1" spans="1:6" x14ac:dyDescent="0.3">
      <c r="A1" t="s">
        <v>1144</v>
      </c>
      <c r="B1" t="s">
        <v>1145</v>
      </c>
      <c r="C1" t="s">
        <v>1146</v>
      </c>
      <c r="D1" t="s">
        <v>3</v>
      </c>
      <c r="E1" t="s">
        <v>1084</v>
      </c>
      <c r="F1" t="s">
        <v>1147</v>
      </c>
    </row>
    <row r="2" spans="1:6" x14ac:dyDescent="0.3">
      <c r="A2">
        <v>115371</v>
      </c>
      <c r="B2">
        <v>10003</v>
      </c>
      <c r="C2">
        <v>396</v>
      </c>
      <c r="D2" t="s">
        <v>1148</v>
      </c>
      <c r="E2">
        <v>78</v>
      </c>
      <c r="F2">
        <v>1234</v>
      </c>
    </row>
    <row r="3" spans="1:6" x14ac:dyDescent="0.3">
      <c r="A3">
        <v>110477</v>
      </c>
      <c r="B3">
        <v>10010</v>
      </c>
      <c r="C3">
        <v>12</v>
      </c>
      <c r="D3" t="s">
        <v>1149</v>
      </c>
      <c r="E3">
        <v>66</v>
      </c>
      <c r="F3">
        <v>9876</v>
      </c>
    </row>
    <row r="4" spans="1:6" x14ac:dyDescent="0.3">
      <c r="A4">
        <v>158272</v>
      </c>
      <c r="B4">
        <v>10002</v>
      </c>
      <c r="C4">
        <v>112</v>
      </c>
      <c r="D4" t="s">
        <v>1148</v>
      </c>
      <c r="E4">
        <v>32</v>
      </c>
      <c r="F4">
        <v>2468</v>
      </c>
    </row>
    <row r="5" spans="1:6" x14ac:dyDescent="0.3">
      <c r="A5">
        <v>182115</v>
      </c>
      <c r="B5">
        <v>10009</v>
      </c>
      <c r="C5">
        <v>454</v>
      </c>
      <c r="D5" t="s">
        <v>1150</v>
      </c>
      <c r="E5">
        <v>41</v>
      </c>
      <c r="F5">
        <v>1357</v>
      </c>
    </row>
    <row r="6" spans="1:6" x14ac:dyDescent="0.3">
      <c r="A6">
        <v>183142</v>
      </c>
      <c r="B6">
        <v>10005</v>
      </c>
      <c r="C6">
        <v>102</v>
      </c>
      <c r="D6" t="s">
        <v>1151</v>
      </c>
      <c r="E6">
        <v>44</v>
      </c>
      <c r="F6">
        <v>1234</v>
      </c>
    </row>
    <row r="7" spans="1:6" x14ac:dyDescent="0.3">
      <c r="A7">
        <v>189763</v>
      </c>
      <c r="B7">
        <v>10007</v>
      </c>
      <c r="C7">
        <v>68</v>
      </c>
      <c r="D7" t="s">
        <v>1151</v>
      </c>
      <c r="E7">
        <v>46</v>
      </c>
      <c r="F7">
        <v>9876</v>
      </c>
    </row>
    <row r="8" spans="1:6" x14ac:dyDescent="0.3">
      <c r="A8">
        <v>133758</v>
      </c>
      <c r="B8">
        <v>10010</v>
      </c>
      <c r="C8">
        <v>496</v>
      </c>
      <c r="D8" t="s">
        <v>1152</v>
      </c>
      <c r="E8">
        <v>41</v>
      </c>
      <c r="F8">
        <v>2468</v>
      </c>
    </row>
    <row r="9" spans="1:6" x14ac:dyDescent="0.3">
      <c r="A9">
        <v>133732</v>
      </c>
      <c r="B9">
        <v>10009</v>
      </c>
      <c r="C9">
        <v>956</v>
      </c>
      <c r="D9" t="s">
        <v>1152</v>
      </c>
      <c r="E9">
        <v>79</v>
      </c>
      <c r="F9">
        <v>1357</v>
      </c>
    </row>
    <row r="10" spans="1:6" x14ac:dyDescent="0.3">
      <c r="A10">
        <v>109880</v>
      </c>
      <c r="B10">
        <v>10009</v>
      </c>
      <c r="C10">
        <v>218</v>
      </c>
      <c r="D10" t="s">
        <v>1149</v>
      </c>
      <c r="E10">
        <v>62</v>
      </c>
      <c r="F10">
        <v>1234</v>
      </c>
    </row>
    <row r="11" spans="1:6" x14ac:dyDescent="0.3">
      <c r="A11">
        <v>165031</v>
      </c>
      <c r="B11">
        <v>10008</v>
      </c>
      <c r="C11">
        <v>677</v>
      </c>
      <c r="D11" t="s">
        <v>1153</v>
      </c>
      <c r="E11">
        <v>30</v>
      </c>
      <c r="F11">
        <v>9876</v>
      </c>
    </row>
    <row r="12" spans="1:6" x14ac:dyDescent="0.3">
      <c r="A12">
        <v>159401</v>
      </c>
      <c r="B12">
        <v>10006</v>
      </c>
      <c r="C12">
        <v>62</v>
      </c>
      <c r="D12" t="s">
        <v>1152</v>
      </c>
      <c r="E12">
        <v>44</v>
      </c>
      <c r="F12">
        <v>2468</v>
      </c>
    </row>
    <row r="13" spans="1:6" x14ac:dyDescent="0.3">
      <c r="A13">
        <v>152614</v>
      </c>
      <c r="B13">
        <v>10007</v>
      </c>
      <c r="C13">
        <v>893</v>
      </c>
      <c r="D13" t="s">
        <v>1153</v>
      </c>
      <c r="E13">
        <v>64</v>
      </c>
      <c r="F13">
        <v>1357</v>
      </c>
    </row>
    <row r="14" spans="1:6" x14ac:dyDescent="0.3">
      <c r="A14">
        <v>187245</v>
      </c>
      <c r="B14">
        <v>10009</v>
      </c>
      <c r="C14">
        <v>42</v>
      </c>
      <c r="D14" t="s">
        <v>1150</v>
      </c>
      <c r="E14">
        <v>30</v>
      </c>
      <c r="F14">
        <v>1234</v>
      </c>
    </row>
    <row r="15" spans="1:6" x14ac:dyDescent="0.3">
      <c r="A15">
        <v>129003</v>
      </c>
      <c r="B15">
        <v>10007</v>
      </c>
      <c r="C15">
        <v>597</v>
      </c>
      <c r="D15" t="s">
        <v>1154</v>
      </c>
      <c r="E15">
        <v>29</v>
      </c>
      <c r="F15">
        <v>9876</v>
      </c>
    </row>
    <row r="16" spans="1:6" x14ac:dyDescent="0.3">
      <c r="A16">
        <v>175723</v>
      </c>
      <c r="B16">
        <v>10006</v>
      </c>
      <c r="C16">
        <v>977</v>
      </c>
      <c r="D16" t="s">
        <v>1151</v>
      </c>
      <c r="E16">
        <v>46</v>
      </c>
      <c r="F16">
        <v>2468</v>
      </c>
    </row>
    <row r="17" spans="1:6" x14ac:dyDescent="0.3">
      <c r="A17">
        <v>157298</v>
      </c>
      <c r="B17">
        <v>10006</v>
      </c>
      <c r="C17">
        <v>40</v>
      </c>
      <c r="D17" t="s">
        <v>1155</v>
      </c>
      <c r="E17">
        <v>23</v>
      </c>
      <c r="F17">
        <v>1357</v>
      </c>
    </row>
    <row r="18" spans="1:6" x14ac:dyDescent="0.3">
      <c r="A18">
        <v>167781</v>
      </c>
      <c r="B18">
        <v>10009</v>
      </c>
      <c r="C18">
        <v>423</v>
      </c>
      <c r="D18" t="s">
        <v>1152</v>
      </c>
      <c r="E18">
        <v>72</v>
      </c>
      <c r="F18">
        <v>1234</v>
      </c>
    </row>
    <row r="19" spans="1:6" x14ac:dyDescent="0.3">
      <c r="A19">
        <v>135992</v>
      </c>
      <c r="B19">
        <v>10010</v>
      </c>
      <c r="C19">
        <v>315</v>
      </c>
      <c r="D19" t="s">
        <v>1153</v>
      </c>
      <c r="E19">
        <v>20</v>
      </c>
      <c r="F19">
        <v>9876</v>
      </c>
    </row>
    <row r="20" spans="1:6" x14ac:dyDescent="0.3">
      <c r="A20">
        <v>132519</v>
      </c>
      <c r="B20">
        <v>10002</v>
      </c>
      <c r="C20">
        <v>759</v>
      </c>
      <c r="D20" t="s">
        <v>1151</v>
      </c>
      <c r="E20">
        <v>28</v>
      </c>
      <c r="F20">
        <v>1234</v>
      </c>
    </row>
    <row r="21" spans="1:6" x14ac:dyDescent="0.3">
      <c r="A21">
        <v>194710</v>
      </c>
      <c r="B21">
        <v>10004</v>
      </c>
      <c r="C21">
        <v>926</v>
      </c>
      <c r="D21" t="s">
        <v>1155</v>
      </c>
      <c r="E21">
        <v>25</v>
      </c>
      <c r="F21">
        <v>9876</v>
      </c>
    </row>
    <row r="22" spans="1:6" x14ac:dyDescent="0.3">
      <c r="A22">
        <v>150412</v>
      </c>
      <c r="B22">
        <v>10009</v>
      </c>
      <c r="C22">
        <v>561</v>
      </c>
      <c r="D22" t="s">
        <v>1155</v>
      </c>
      <c r="E22">
        <v>65</v>
      </c>
      <c r="F22">
        <v>1234</v>
      </c>
    </row>
    <row r="23" spans="1:6" x14ac:dyDescent="0.3">
      <c r="A23">
        <v>139566</v>
      </c>
      <c r="B23">
        <v>10003</v>
      </c>
      <c r="C23">
        <v>321</v>
      </c>
      <c r="D23" t="s">
        <v>1149</v>
      </c>
      <c r="E23">
        <v>44</v>
      </c>
      <c r="F23">
        <v>9876</v>
      </c>
    </row>
    <row r="24" spans="1:6" x14ac:dyDescent="0.3">
      <c r="A24">
        <v>172087</v>
      </c>
      <c r="B24">
        <v>10004</v>
      </c>
      <c r="C24">
        <v>748</v>
      </c>
      <c r="D24" t="s">
        <v>1155</v>
      </c>
      <c r="E24">
        <v>37</v>
      </c>
      <c r="F24">
        <v>2468</v>
      </c>
    </row>
    <row r="25" spans="1:6" x14ac:dyDescent="0.3">
      <c r="A25">
        <v>158933</v>
      </c>
      <c r="B25">
        <v>10005</v>
      </c>
      <c r="C25">
        <v>28</v>
      </c>
      <c r="D25" t="s">
        <v>1148</v>
      </c>
      <c r="E25">
        <v>41</v>
      </c>
      <c r="F25">
        <v>1357</v>
      </c>
    </row>
    <row r="26" spans="1:6" x14ac:dyDescent="0.3">
      <c r="A26">
        <v>141503</v>
      </c>
      <c r="B26">
        <v>10006</v>
      </c>
      <c r="C26">
        <v>501</v>
      </c>
      <c r="D26" t="s">
        <v>1152</v>
      </c>
      <c r="E26">
        <v>64</v>
      </c>
      <c r="F26">
        <v>9876</v>
      </c>
    </row>
    <row r="27" spans="1:6" x14ac:dyDescent="0.3">
      <c r="A27">
        <v>185945</v>
      </c>
      <c r="B27">
        <v>10006</v>
      </c>
      <c r="C27">
        <v>330</v>
      </c>
      <c r="D27" t="s">
        <v>1155</v>
      </c>
      <c r="E27">
        <v>29</v>
      </c>
      <c r="F27">
        <v>2468</v>
      </c>
    </row>
    <row r="28" spans="1:6" x14ac:dyDescent="0.3">
      <c r="A28">
        <v>116120</v>
      </c>
      <c r="B28">
        <v>10005</v>
      </c>
      <c r="C28">
        <v>879</v>
      </c>
      <c r="D28" t="s">
        <v>1154</v>
      </c>
      <c r="E28">
        <v>72</v>
      </c>
      <c r="F28">
        <v>1357</v>
      </c>
    </row>
    <row r="29" spans="1:6" x14ac:dyDescent="0.3">
      <c r="A29">
        <v>105285</v>
      </c>
      <c r="B29">
        <v>10010</v>
      </c>
      <c r="C29">
        <v>170</v>
      </c>
      <c r="D29" t="s">
        <v>1155</v>
      </c>
      <c r="E29">
        <v>72</v>
      </c>
      <c r="F29">
        <v>1234</v>
      </c>
    </row>
    <row r="30" spans="1:6" x14ac:dyDescent="0.3">
      <c r="A30">
        <v>106604</v>
      </c>
      <c r="B30">
        <v>10005</v>
      </c>
      <c r="C30">
        <v>94</v>
      </c>
      <c r="D30" t="s">
        <v>1155</v>
      </c>
      <c r="E30">
        <v>65</v>
      </c>
      <c r="F30">
        <v>9876</v>
      </c>
    </row>
    <row r="31" spans="1:6" x14ac:dyDescent="0.3">
      <c r="A31">
        <v>157430</v>
      </c>
      <c r="B31">
        <v>10007</v>
      </c>
      <c r="C31">
        <v>9</v>
      </c>
      <c r="D31" t="s">
        <v>1155</v>
      </c>
      <c r="E31">
        <v>34</v>
      </c>
      <c r="F31">
        <v>2468</v>
      </c>
    </row>
    <row r="32" spans="1:6" x14ac:dyDescent="0.3">
      <c r="A32">
        <v>171415</v>
      </c>
      <c r="B32">
        <v>10009</v>
      </c>
      <c r="C32">
        <v>279</v>
      </c>
      <c r="D32" t="s">
        <v>1149</v>
      </c>
      <c r="E32">
        <v>18</v>
      </c>
      <c r="F32">
        <v>1357</v>
      </c>
    </row>
    <row r="33" spans="1:6" x14ac:dyDescent="0.3">
      <c r="A33">
        <v>130468</v>
      </c>
      <c r="B33">
        <v>10009</v>
      </c>
      <c r="C33">
        <v>678</v>
      </c>
      <c r="D33" t="s">
        <v>1155</v>
      </c>
      <c r="E33">
        <v>58</v>
      </c>
      <c r="F33">
        <v>9876</v>
      </c>
    </row>
    <row r="34" spans="1:6" x14ac:dyDescent="0.3">
      <c r="A34">
        <v>102373</v>
      </c>
      <c r="B34">
        <v>10006</v>
      </c>
      <c r="C34">
        <v>241</v>
      </c>
      <c r="D34" t="s">
        <v>1152</v>
      </c>
      <c r="E34">
        <v>28</v>
      </c>
      <c r="F34">
        <v>2468</v>
      </c>
    </row>
    <row r="35" spans="1:6" x14ac:dyDescent="0.3">
      <c r="A35">
        <v>162348</v>
      </c>
      <c r="B35">
        <v>10009</v>
      </c>
      <c r="C35">
        <v>163</v>
      </c>
      <c r="D35" t="s">
        <v>1151</v>
      </c>
      <c r="E35">
        <v>57</v>
      </c>
      <c r="F35">
        <v>1234</v>
      </c>
    </row>
    <row r="36" spans="1:6" x14ac:dyDescent="0.3">
      <c r="A36">
        <v>196477</v>
      </c>
      <c r="B36">
        <v>10004</v>
      </c>
      <c r="C36">
        <v>972</v>
      </c>
      <c r="D36" t="s">
        <v>1155</v>
      </c>
      <c r="E36">
        <v>46</v>
      </c>
      <c r="F36">
        <v>9876</v>
      </c>
    </row>
    <row r="37" spans="1:6" x14ac:dyDescent="0.3">
      <c r="A37">
        <v>164354</v>
      </c>
      <c r="B37">
        <v>10008</v>
      </c>
      <c r="C37">
        <v>775</v>
      </c>
      <c r="D37" t="s">
        <v>1155</v>
      </c>
      <c r="E37">
        <v>22</v>
      </c>
      <c r="F37">
        <v>1234</v>
      </c>
    </row>
    <row r="38" spans="1:6" x14ac:dyDescent="0.3">
      <c r="A38">
        <v>172071</v>
      </c>
      <c r="B38">
        <v>10002</v>
      </c>
      <c r="C38">
        <v>151</v>
      </c>
      <c r="D38" t="s">
        <v>1150</v>
      </c>
      <c r="E38">
        <v>30</v>
      </c>
      <c r="F38">
        <v>9876</v>
      </c>
    </row>
    <row r="39" spans="1:6" x14ac:dyDescent="0.3">
      <c r="A39">
        <v>129567</v>
      </c>
      <c r="B39">
        <v>10006</v>
      </c>
      <c r="C39">
        <v>130</v>
      </c>
      <c r="D39" t="s">
        <v>1155</v>
      </c>
      <c r="E39">
        <v>33</v>
      </c>
      <c r="F39">
        <v>2468</v>
      </c>
    </row>
    <row r="40" spans="1:6" x14ac:dyDescent="0.3">
      <c r="A40">
        <v>125952</v>
      </c>
      <c r="B40">
        <v>10003</v>
      </c>
      <c r="C40">
        <v>913</v>
      </c>
      <c r="D40" t="s">
        <v>1152</v>
      </c>
      <c r="E40">
        <v>76</v>
      </c>
      <c r="F40">
        <v>1357</v>
      </c>
    </row>
    <row r="41" spans="1:6" x14ac:dyDescent="0.3">
      <c r="A41">
        <v>167725</v>
      </c>
      <c r="B41">
        <v>10009</v>
      </c>
      <c r="C41">
        <v>554</v>
      </c>
      <c r="D41" t="s">
        <v>1148</v>
      </c>
      <c r="E41">
        <v>57</v>
      </c>
      <c r="F41">
        <v>1234</v>
      </c>
    </row>
    <row r="42" spans="1:6" x14ac:dyDescent="0.3">
      <c r="A42">
        <v>119584</v>
      </c>
      <c r="B42">
        <v>10004</v>
      </c>
      <c r="C42">
        <v>628</v>
      </c>
      <c r="D42" t="s">
        <v>1155</v>
      </c>
      <c r="E42">
        <v>66</v>
      </c>
      <c r="F42">
        <v>9876</v>
      </c>
    </row>
    <row r="43" spans="1:6" x14ac:dyDescent="0.3">
      <c r="A43">
        <v>100525</v>
      </c>
      <c r="B43">
        <v>10005</v>
      </c>
      <c r="C43">
        <v>315</v>
      </c>
      <c r="D43" t="s">
        <v>1153</v>
      </c>
      <c r="E43">
        <v>51</v>
      </c>
      <c r="F43">
        <v>2468</v>
      </c>
    </row>
    <row r="44" spans="1:6" x14ac:dyDescent="0.3">
      <c r="A44">
        <v>103091</v>
      </c>
      <c r="B44">
        <v>10009</v>
      </c>
      <c r="C44">
        <v>604</v>
      </c>
      <c r="D44" t="s">
        <v>1151</v>
      </c>
      <c r="E44">
        <v>71</v>
      </c>
      <c r="F44">
        <v>1357</v>
      </c>
    </row>
    <row r="45" spans="1:6" x14ac:dyDescent="0.3">
      <c r="A45">
        <v>142519</v>
      </c>
      <c r="B45">
        <v>10005</v>
      </c>
      <c r="C45">
        <v>193</v>
      </c>
      <c r="D45" t="s">
        <v>1152</v>
      </c>
      <c r="E45">
        <v>44</v>
      </c>
      <c r="F45">
        <v>1234</v>
      </c>
    </row>
    <row r="46" spans="1:6" x14ac:dyDescent="0.3">
      <c r="A46">
        <v>184870</v>
      </c>
      <c r="B46">
        <v>10002</v>
      </c>
      <c r="C46">
        <v>534</v>
      </c>
      <c r="D46" t="s">
        <v>1154</v>
      </c>
      <c r="E46">
        <v>27</v>
      </c>
      <c r="F46">
        <v>9876</v>
      </c>
    </row>
    <row r="47" spans="1:6" x14ac:dyDescent="0.3">
      <c r="A47">
        <v>191801</v>
      </c>
      <c r="B47">
        <v>10001</v>
      </c>
      <c r="C47">
        <v>155</v>
      </c>
      <c r="D47" t="s">
        <v>1148</v>
      </c>
      <c r="E47">
        <v>61</v>
      </c>
      <c r="F47">
        <v>2468</v>
      </c>
    </row>
    <row r="48" spans="1:6" x14ac:dyDescent="0.3">
      <c r="A48">
        <v>162760</v>
      </c>
      <c r="B48">
        <v>10004</v>
      </c>
      <c r="C48">
        <v>832</v>
      </c>
      <c r="D48" t="s">
        <v>1149</v>
      </c>
      <c r="E48">
        <v>53</v>
      </c>
      <c r="F48">
        <v>1357</v>
      </c>
    </row>
    <row r="49" spans="1:6" x14ac:dyDescent="0.3">
      <c r="A49">
        <v>125988</v>
      </c>
      <c r="B49">
        <v>10004</v>
      </c>
      <c r="C49">
        <v>230</v>
      </c>
      <c r="D49" t="s">
        <v>1154</v>
      </c>
      <c r="E49">
        <v>67</v>
      </c>
      <c r="F49">
        <v>9876</v>
      </c>
    </row>
    <row r="50" spans="1:6" x14ac:dyDescent="0.3">
      <c r="A50">
        <v>176024</v>
      </c>
      <c r="B50">
        <v>10006</v>
      </c>
      <c r="C50">
        <v>463</v>
      </c>
      <c r="D50" t="s">
        <v>1153</v>
      </c>
      <c r="E50">
        <v>32</v>
      </c>
      <c r="F50">
        <v>2468</v>
      </c>
    </row>
    <row r="51" spans="1:6" x14ac:dyDescent="0.3">
      <c r="A51">
        <v>125238</v>
      </c>
      <c r="B51">
        <v>10008</v>
      </c>
      <c r="C51">
        <v>565</v>
      </c>
      <c r="D51" t="s">
        <v>1150</v>
      </c>
      <c r="E51">
        <v>29</v>
      </c>
      <c r="F51">
        <v>1357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54DEB-A737-4D5D-BD2A-B751BBB3DC89}">
  <dimension ref="A1:D41"/>
  <sheetViews>
    <sheetView workbookViewId="0">
      <selection sqref="A1:D41"/>
    </sheetView>
  </sheetViews>
  <sheetFormatPr defaultRowHeight="14.4" x14ac:dyDescent="0.3"/>
  <cols>
    <col min="1" max="1" width="15.6640625" bestFit="1" customWidth="1"/>
    <col min="2" max="2" width="11" bestFit="1" customWidth="1"/>
    <col min="3" max="3" width="9" bestFit="1" customWidth="1"/>
    <col min="4" max="4" width="12.88671875" bestFit="1" customWidth="1"/>
  </cols>
  <sheetData>
    <row r="1" spans="1:4" x14ac:dyDescent="0.3">
      <c r="A1" t="s">
        <v>1156</v>
      </c>
      <c r="B1" t="s">
        <v>298</v>
      </c>
      <c r="C1" t="s">
        <v>297</v>
      </c>
      <c r="D1" t="s">
        <v>299</v>
      </c>
    </row>
    <row r="2" spans="1:4" x14ac:dyDescent="0.3">
      <c r="A2">
        <v>1</v>
      </c>
      <c r="B2" t="s">
        <v>276</v>
      </c>
      <c r="C2" t="s">
        <v>894</v>
      </c>
      <c r="D2" t="s">
        <v>1157</v>
      </c>
    </row>
    <row r="3" spans="1:4" x14ac:dyDescent="0.3">
      <c r="A3">
        <v>2</v>
      </c>
      <c r="B3" t="s">
        <v>276</v>
      </c>
      <c r="C3" t="s">
        <v>902</v>
      </c>
      <c r="D3" t="s">
        <v>1158</v>
      </c>
    </row>
    <row r="4" spans="1:4" x14ac:dyDescent="0.3">
      <c r="A4">
        <v>3</v>
      </c>
      <c r="B4" t="s">
        <v>276</v>
      </c>
      <c r="C4" t="s">
        <v>904</v>
      </c>
      <c r="D4" t="s">
        <v>1159</v>
      </c>
    </row>
    <row r="5" spans="1:4" x14ac:dyDescent="0.3">
      <c r="A5">
        <v>4</v>
      </c>
      <c r="B5" t="s">
        <v>276</v>
      </c>
      <c r="C5" t="s">
        <v>898</v>
      </c>
      <c r="D5" t="s">
        <v>1160</v>
      </c>
    </row>
    <row r="6" spans="1:4" x14ac:dyDescent="0.3">
      <c r="A6">
        <v>5</v>
      </c>
      <c r="B6" t="s">
        <v>276</v>
      </c>
      <c r="C6" t="s">
        <v>1161</v>
      </c>
      <c r="D6" t="s">
        <v>1162</v>
      </c>
    </row>
    <row r="7" spans="1:4" x14ac:dyDescent="0.3">
      <c r="A7">
        <v>6</v>
      </c>
      <c r="B7" t="s">
        <v>284</v>
      </c>
      <c r="C7" t="s">
        <v>894</v>
      </c>
      <c r="D7" t="s">
        <v>1163</v>
      </c>
    </row>
    <row r="8" spans="1:4" x14ac:dyDescent="0.3">
      <c r="A8">
        <v>7</v>
      </c>
      <c r="B8" t="s">
        <v>284</v>
      </c>
      <c r="C8" t="s">
        <v>902</v>
      </c>
      <c r="D8" t="s">
        <v>1164</v>
      </c>
    </row>
    <row r="9" spans="1:4" x14ac:dyDescent="0.3">
      <c r="A9">
        <v>8</v>
      </c>
      <c r="B9" t="s">
        <v>284</v>
      </c>
      <c r="C9" t="s">
        <v>904</v>
      </c>
      <c r="D9" t="s">
        <v>1165</v>
      </c>
    </row>
    <row r="10" spans="1:4" x14ac:dyDescent="0.3">
      <c r="A10">
        <v>9</v>
      </c>
      <c r="B10" t="s">
        <v>284</v>
      </c>
      <c r="C10" t="s">
        <v>898</v>
      </c>
      <c r="D10" t="s">
        <v>1166</v>
      </c>
    </row>
    <row r="11" spans="1:4" x14ac:dyDescent="0.3">
      <c r="A11">
        <v>10</v>
      </c>
      <c r="B11" t="s">
        <v>284</v>
      </c>
      <c r="C11" t="s">
        <v>1161</v>
      </c>
      <c r="D11" t="s">
        <v>1167</v>
      </c>
    </row>
    <row r="12" spans="1:4" x14ac:dyDescent="0.3">
      <c r="A12">
        <v>11</v>
      </c>
      <c r="B12" t="s">
        <v>270</v>
      </c>
      <c r="C12" t="s">
        <v>894</v>
      </c>
      <c r="D12" t="s">
        <v>1168</v>
      </c>
    </row>
    <row r="13" spans="1:4" x14ac:dyDescent="0.3">
      <c r="A13">
        <v>12</v>
      </c>
      <c r="B13" t="s">
        <v>270</v>
      </c>
      <c r="C13" t="s">
        <v>902</v>
      </c>
      <c r="D13" t="s">
        <v>1169</v>
      </c>
    </row>
    <row r="14" spans="1:4" x14ac:dyDescent="0.3">
      <c r="A14">
        <v>13</v>
      </c>
      <c r="B14" t="s">
        <v>270</v>
      </c>
      <c r="C14" t="s">
        <v>904</v>
      </c>
      <c r="D14" t="s">
        <v>1170</v>
      </c>
    </row>
    <row r="15" spans="1:4" x14ac:dyDescent="0.3">
      <c r="A15">
        <v>14</v>
      </c>
      <c r="B15" t="s">
        <v>270</v>
      </c>
      <c r="C15" t="s">
        <v>898</v>
      </c>
      <c r="D15" t="s">
        <v>1171</v>
      </c>
    </row>
    <row r="16" spans="1:4" x14ac:dyDescent="0.3">
      <c r="A16">
        <v>15</v>
      </c>
      <c r="B16" t="s">
        <v>270</v>
      </c>
      <c r="C16" t="s">
        <v>1161</v>
      </c>
      <c r="D16" t="s">
        <v>1172</v>
      </c>
    </row>
    <row r="17" spans="1:4" x14ac:dyDescent="0.3">
      <c r="A17">
        <v>16</v>
      </c>
      <c r="B17" t="s">
        <v>330</v>
      </c>
      <c r="C17" t="s">
        <v>894</v>
      </c>
      <c r="D17" t="s">
        <v>1173</v>
      </c>
    </row>
    <row r="18" spans="1:4" x14ac:dyDescent="0.3">
      <c r="A18">
        <v>17</v>
      </c>
      <c r="B18" t="s">
        <v>330</v>
      </c>
      <c r="C18" t="s">
        <v>902</v>
      </c>
      <c r="D18" t="s">
        <v>1174</v>
      </c>
    </row>
    <row r="19" spans="1:4" x14ac:dyDescent="0.3">
      <c r="A19">
        <v>18</v>
      </c>
      <c r="B19" t="s">
        <v>330</v>
      </c>
      <c r="C19" t="s">
        <v>904</v>
      </c>
      <c r="D19" t="s">
        <v>1175</v>
      </c>
    </row>
    <row r="20" spans="1:4" x14ac:dyDescent="0.3">
      <c r="A20">
        <v>19</v>
      </c>
      <c r="B20" t="s">
        <v>330</v>
      </c>
      <c r="C20" t="s">
        <v>898</v>
      </c>
      <c r="D20" t="s">
        <v>1176</v>
      </c>
    </row>
    <row r="21" spans="1:4" x14ac:dyDescent="0.3">
      <c r="A21">
        <v>20</v>
      </c>
      <c r="B21" t="s">
        <v>330</v>
      </c>
      <c r="C21" t="s">
        <v>1161</v>
      </c>
      <c r="D21" t="s">
        <v>1177</v>
      </c>
    </row>
    <row r="22" spans="1:4" x14ac:dyDescent="0.3">
      <c r="A22">
        <v>21</v>
      </c>
      <c r="B22" t="s">
        <v>1178</v>
      </c>
      <c r="C22" t="s">
        <v>894</v>
      </c>
      <c r="D22" t="s">
        <v>1179</v>
      </c>
    </row>
    <row r="23" spans="1:4" x14ac:dyDescent="0.3">
      <c r="A23">
        <v>22</v>
      </c>
      <c r="B23" t="s">
        <v>1178</v>
      </c>
      <c r="C23" t="s">
        <v>902</v>
      </c>
      <c r="D23" t="s">
        <v>1180</v>
      </c>
    </row>
    <row r="24" spans="1:4" x14ac:dyDescent="0.3">
      <c r="A24">
        <v>23</v>
      </c>
      <c r="B24" t="s">
        <v>1178</v>
      </c>
      <c r="C24" t="s">
        <v>904</v>
      </c>
      <c r="D24" t="s">
        <v>1181</v>
      </c>
    </row>
    <row r="25" spans="1:4" x14ac:dyDescent="0.3">
      <c r="A25">
        <v>24</v>
      </c>
      <c r="B25" t="s">
        <v>1178</v>
      </c>
      <c r="C25" t="s">
        <v>898</v>
      </c>
      <c r="D25" t="s">
        <v>1182</v>
      </c>
    </row>
    <row r="26" spans="1:4" x14ac:dyDescent="0.3">
      <c r="A26">
        <v>25</v>
      </c>
      <c r="B26" t="s">
        <v>1178</v>
      </c>
      <c r="C26" t="s">
        <v>1161</v>
      </c>
      <c r="D26" t="s">
        <v>1183</v>
      </c>
    </row>
    <row r="27" spans="1:4" x14ac:dyDescent="0.3">
      <c r="A27">
        <v>26</v>
      </c>
      <c r="B27" t="s">
        <v>1184</v>
      </c>
      <c r="C27" t="s">
        <v>894</v>
      </c>
      <c r="D27" t="s">
        <v>1185</v>
      </c>
    </row>
    <row r="28" spans="1:4" x14ac:dyDescent="0.3">
      <c r="A28">
        <v>27</v>
      </c>
      <c r="B28" t="s">
        <v>1184</v>
      </c>
      <c r="C28" t="s">
        <v>902</v>
      </c>
      <c r="D28" t="s">
        <v>1186</v>
      </c>
    </row>
    <row r="29" spans="1:4" x14ac:dyDescent="0.3">
      <c r="A29">
        <v>28</v>
      </c>
      <c r="B29" t="s">
        <v>1184</v>
      </c>
      <c r="C29" t="s">
        <v>904</v>
      </c>
      <c r="D29" t="s">
        <v>1187</v>
      </c>
    </row>
    <row r="30" spans="1:4" x14ac:dyDescent="0.3">
      <c r="A30">
        <v>29</v>
      </c>
      <c r="B30" t="s">
        <v>1184</v>
      </c>
      <c r="C30" t="s">
        <v>898</v>
      </c>
      <c r="D30" t="s">
        <v>1188</v>
      </c>
    </row>
    <row r="31" spans="1:4" x14ac:dyDescent="0.3">
      <c r="A31">
        <v>30</v>
      </c>
      <c r="B31" t="s">
        <v>1184</v>
      </c>
      <c r="C31" t="s">
        <v>1161</v>
      </c>
      <c r="D31" t="s">
        <v>1189</v>
      </c>
    </row>
    <row r="32" spans="1:4" x14ac:dyDescent="0.3">
      <c r="A32">
        <v>31</v>
      </c>
      <c r="B32" t="s">
        <v>1190</v>
      </c>
      <c r="C32" t="s">
        <v>894</v>
      </c>
      <c r="D32" t="s">
        <v>1191</v>
      </c>
    </row>
    <row r="33" spans="1:4" x14ac:dyDescent="0.3">
      <c r="A33">
        <v>32</v>
      </c>
      <c r="B33" t="s">
        <v>1190</v>
      </c>
      <c r="C33" t="s">
        <v>902</v>
      </c>
      <c r="D33" t="s">
        <v>1192</v>
      </c>
    </row>
    <row r="34" spans="1:4" x14ac:dyDescent="0.3">
      <c r="A34">
        <v>33</v>
      </c>
      <c r="B34" t="s">
        <v>1190</v>
      </c>
      <c r="C34" t="s">
        <v>904</v>
      </c>
      <c r="D34" t="s">
        <v>1193</v>
      </c>
    </row>
    <row r="35" spans="1:4" x14ac:dyDescent="0.3">
      <c r="A35">
        <v>34</v>
      </c>
      <c r="B35" t="s">
        <v>1190</v>
      </c>
      <c r="C35" t="s">
        <v>898</v>
      </c>
      <c r="D35" t="s">
        <v>1194</v>
      </c>
    </row>
    <row r="36" spans="1:4" x14ac:dyDescent="0.3">
      <c r="A36">
        <v>35</v>
      </c>
      <c r="B36" t="s">
        <v>1190</v>
      </c>
      <c r="C36" t="s">
        <v>1161</v>
      </c>
      <c r="D36" t="s">
        <v>1195</v>
      </c>
    </row>
    <row r="37" spans="1:4" x14ac:dyDescent="0.3">
      <c r="A37">
        <v>36</v>
      </c>
      <c r="B37" t="s">
        <v>252</v>
      </c>
      <c r="C37" t="s">
        <v>894</v>
      </c>
      <c r="D37" t="s">
        <v>1196</v>
      </c>
    </row>
    <row r="38" spans="1:4" x14ac:dyDescent="0.3">
      <c r="A38">
        <v>37</v>
      </c>
      <c r="B38" t="s">
        <v>252</v>
      </c>
      <c r="C38" t="s">
        <v>902</v>
      </c>
      <c r="D38" t="s">
        <v>1197</v>
      </c>
    </row>
    <row r="39" spans="1:4" x14ac:dyDescent="0.3">
      <c r="A39">
        <v>38</v>
      </c>
      <c r="B39" t="s">
        <v>252</v>
      </c>
      <c r="C39" t="s">
        <v>904</v>
      </c>
      <c r="D39" t="s">
        <v>1198</v>
      </c>
    </row>
    <row r="40" spans="1:4" x14ac:dyDescent="0.3">
      <c r="A40">
        <v>39</v>
      </c>
      <c r="B40" t="s">
        <v>252</v>
      </c>
      <c r="C40" t="s">
        <v>898</v>
      </c>
      <c r="D40" t="s">
        <v>1199</v>
      </c>
    </row>
    <row r="41" spans="1:4" x14ac:dyDescent="0.3">
      <c r="A41">
        <v>40</v>
      </c>
      <c r="B41" t="s">
        <v>252</v>
      </c>
      <c r="C41" t="s">
        <v>1161</v>
      </c>
      <c r="D41" t="s">
        <v>1200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D7AB8-AF26-49FB-AB7F-069F7FB2164D}">
  <dimension ref="A1:E51"/>
  <sheetViews>
    <sheetView workbookViewId="0">
      <selection activeCell="C21" sqref="C21"/>
    </sheetView>
  </sheetViews>
  <sheetFormatPr defaultRowHeight="14.4" x14ac:dyDescent="0.3"/>
  <cols>
    <col min="1" max="1" width="14.6640625" bestFit="1" customWidth="1"/>
    <col min="2" max="2" width="16.6640625" bestFit="1" customWidth="1"/>
    <col min="3" max="3" width="10.5546875" bestFit="1" customWidth="1"/>
    <col min="4" max="4" width="14.88671875" bestFit="1" customWidth="1"/>
    <col min="5" max="5" width="15.6640625" bestFit="1" customWidth="1"/>
  </cols>
  <sheetData>
    <row r="1" spans="1:5" x14ac:dyDescent="0.3">
      <c r="A1" t="s">
        <v>1201</v>
      </c>
      <c r="B1" t="s">
        <v>1202</v>
      </c>
      <c r="C1" t="s">
        <v>1203</v>
      </c>
      <c r="D1" t="s">
        <v>1204</v>
      </c>
      <c r="E1" t="s">
        <v>1156</v>
      </c>
    </row>
    <row r="2" spans="1:5" x14ac:dyDescent="0.3">
      <c r="A2">
        <v>1</v>
      </c>
      <c r="B2" t="s">
        <v>1205</v>
      </c>
      <c r="C2" s="11">
        <v>43447</v>
      </c>
      <c r="D2" t="s">
        <v>1206</v>
      </c>
      <c r="E2">
        <v>4</v>
      </c>
    </row>
    <row r="3" spans="1:5" x14ac:dyDescent="0.3">
      <c r="A3">
        <v>2</v>
      </c>
      <c r="B3" t="s">
        <v>1207</v>
      </c>
      <c r="C3" s="11">
        <v>43144</v>
      </c>
      <c r="D3" t="s">
        <v>1208</v>
      </c>
      <c r="E3">
        <v>6</v>
      </c>
    </row>
    <row r="4" spans="1:5" x14ac:dyDescent="0.3">
      <c r="A4">
        <v>3</v>
      </c>
      <c r="B4" t="s">
        <v>1209</v>
      </c>
      <c r="C4" s="11">
        <v>43659</v>
      </c>
      <c r="D4" t="s">
        <v>1208</v>
      </c>
      <c r="E4">
        <v>32</v>
      </c>
    </row>
    <row r="5" spans="1:5" x14ac:dyDescent="0.3">
      <c r="A5">
        <v>4</v>
      </c>
      <c r="B5" t="s">
        <v>1210</v>
      </c>
      <c r="C5" s="11">
        <v>45281</v>
      </c>
      <c r="D5" t="s">
        <v>1211</v>
      </c>
      <c r="E5">
        <v>20</v>
      </c>
    </row>
    <row r="6" spans="1:5" x14ac:dyDescent="0.3">
      <c r="A6">
        <v>5</v>
      </c>
      <c r="B6" t="s">
        <v>1212</v>
      </c>
      <c r="C6" s="11">
        <v>45625</v>
      </c>
      <c r="D6" t="s">
        <v>401</v>
      </c>
      <c r="E6">
        <v>39</v>
      </c>
    </row>
    <row r="7" spans="1:5" x14ac:dyDescent="0.3">
      <c r="A7">
        <v>6</v>
      </c>
      <c r="B7" t="s">
        <v>1213</v>
      </c>
      <c r="C7" s="11">
        <v>44841</v>
      </c>
      <c r="D7" t="s">
        <v>1214</v>
      </c>
      <c r="E7">
        <v>34</v>
      </c>
    </row>
    <row r="8" spans="1:5" x14ac:dyDescent="0.3">
      <c r="A8">
        <v>7</v>
      </c>
      <c r="B8" t="s">
        <v>1215</v>
      </c>
      <c r="C8" s="11">
        <v>44101</v>
      </c>
      <c r="D8" t="s">
        <v>1214</v>
      </c>
      <c r="E8">
        <v>34</v>
      </c>
    </row>
    <row r="9" spans="1:5" x14ac:dyDescent="0.3">
      <c r="A9">
        <v>8</v>
      </c>
      <c r="B9" t="s">
        <v>1216</v>
      </c>
      <c r="C9" s="11">
        <v>43274</v>
      </c>
      <c r="D9" t="s">
        <v>1214</v>
      </c>
      <c r="E9">
        <v>18</v>
      </c>
    </row>
    <row r="10" spans="1:5" x14ac:dyDescent="0.3">
      <c r="A10">
        <v>9</v>
      </c>
      <c r="B10" t="s">
        <v>1217</v>
      </c>
      <c r="C10" s="11">
        <v>45245</v>
      </c>
      <c r="D10" t="s">
        <v>401</v>
      </c>
      <c r="E10">
        <v>18</v>
      </c>
    </row>
    <row r="11" spans="1:5" x14ac:dyDescent="0.3">
      <c r="A11">
        <v>10</v>
      </c>
      <c r="B11" t="s">
        <v>1218</v>
      </c>
      <c r="C11" s="11">
        <v>44604</v>
      </c>
      <c r="D11" t="s">
        <v>401</v>
      </c>
      <c r="E11">
        <v>11</v>
      </c>
    </row>
    <row r="12" spans="1:5" x14ac:dyDescent="0.3">
      <c r="A12">
        <v>11</v>
      </c>
      <c r="B12" t="s">
        <v>1219</v>
      </c>
      <c r="C12" s="11">
        <v>43309</v>
      </c>
      <c r="D12" t="s">
        <v>1208</v>
      </c>
      <c r="E12">
        <v>28</v>
      </c>
    </row>
    <row r="13" spans="1:5" x14ac:dyDescent="0.3">
      <c r="A13">
        <v>12</v>
      </c>
      <c r="B13" t="s">
        <v>1220</v>
      </c>
      <c r="C13" s="11">
        <v>43799</v>
      </c>
      <c r="D13" t="s">
        <v>1206</v>
      </c>
      <c r="E13">
        <v>37</v>
      </c>
    </row>
    <row r="14" spans="1:5" x14ac:dyDescent="0.3">
      <c r="A14">
        <v>13</v>
      </c>
      <c r="B14" t="s">
        <v>1221</v>
      </c>
      <c r="C14" s="11">
        <v>44124</v>
      </c>
      <c r="D14" t="s">
        <v>1214</v>
      </c>
      <c r="E14">
        <v>6</v>
      </c>
    </row>
    <row r="15" spans="1:5" x14ac:dyDescent="0.3">
      <c r="A15">
        <v>14</v>
      </c>
      <c r="B15" t="s">
        <v>1222</v>
      </c>
      <c r="C15" s="11">
        <v>44289</v>
      </c>
      <c r="D15" t="s">
        <v>1206</v>
      </c>
      <c r="E15">
        <v>20</v>
      </c>
    </row>
    <row r="16" spans="1:5" x14ac:dyDescent="0.3">
      <c r="A16">
        <v>15</v>
      </c>
      <c r="B16" t="s">
        <v>1223</v>
      </c>
      <c r="C16" s="11">
        <v>44185</v>
      </c>
      <c r="D16" t="s">
        <v>401</v>
      </c>
      <c r="E16">
        <v>25</v>
      </c>
    </row>
    <row r="17" spans="1:5" x14ac:dyDescent="0.3">
      <c r="A17">
        <v>16</v>
      </c>
      <c r="B17" t="s">
        <v>1224</v>
      </c>
      <c r="C17" s="11">
        <v>45430</v>
      </c>
      <c r="D17" t="s">
        <v>1208</v>
      </c>
      <c r="E17">
        <v>10</v>
      </c>
    </row>
    <row r="18" spans="1:5" x14ac:dyDescent="0.3">
      <c r="A18">
        <v>17</v>
      </c>
      <c r="B18" t="s">
        <v>1225</v>
      </c>
      <c r="C18" s="11">
        <v>45212</v>
      </c>
      <c r="D18" t="s">
        <v>1211</v>
      </c>
      <c r="E18">
        <v>31</v>
      </c>
    </row>
    <row r="19" spans="1:5" x14ac:dyDescent="0.3">
      <c r="A19">
        <v>18</v>
      </c>
      <c r="B19" t="s">
        <v>1226</v>
      </c>
      <c r="C19" s="11">
        <v>45100</v>
      </c>
      <c r="D19" t="s">
        <v>1211</v>
      </c>
      <c r="E19">
        <v>23</v>
      </c>
    </row>
    <row r="20" spans="1:5" x14ac:dyDescent="0.3">
      <c r="A20">
        <v>19</v>
      </c>
      <c r="B20" t="s">
        <v>1227</v>
      </c>
      <c r="C20" s="11">
        <v>45622</v>
      </c>
      <c r="D20" t="s">
        <v>1208</v>
      </c>
      <c r="E20">
        <v>4</v>
      </c>
    </row>
    <row r="21" spans="1:5" x14ac:dyDescent="0.3">
      <c r="A21">
        <v>20</v>
      </c>
      <c r="B21" t="s">
        <v>1228</v>
      </c>
      <c r="C21" s="11">
        <v>44550</v>
      </c>
      <c r="D21" t="s">
        <v>1211</v>
      </c>
      <c r="E21">
        <v>15</v>
      </c>
    </row>
    <row r="22" spans="1:5" x14ac:dyDescent="0.3">
      <c r="A22">
        <v>21</v>
      </c>
      <c r="B22" t="s">
        <v>1229</v>
      </c>
      <c r="C22" s="11">
        <v>43863</v>
      </c>
      <c r="D22" t="s">
        <v>1208</v>
      </c>
      <c r="E22">
        <v>26</v>
      </c>
    </row>
    <row r="23" spans="1:5" x14ac:dyDescent="0.3">
      <c r="A23">
        <v>22</v>
      </c>
      <c r="B23" t="s">
        <v>1227</v>
      </c>
      <c r="C23" s="11">
        <v>43516</v>
      </c>
      <c r="D23" t="s">
        <v>1208</v>
      </c>
      <c r="E23">
        <v>39</v>
      </c>
    </row>
    <row r="24" spans="1:5" x14ac:dyDescent="0.3">
      <c r="A24">
        <v>23</v>
      </c>
      <c r="B24" t="s">
        <v>1230</v>
      </c>
      <c r="C24" s="11">
        <v>43448</v>
      </c>
      <c r="D24" t="s">
        <v>1214</v>
      </c>
      <c r="E24">
        <v>17</v>
      </c>
    </row>
    <row r="25" spans="1:5" x14ac:dyDescent="0.3">
      <c r="A25">
        <v>24</v>
      </c>
      <c r="B25" t="s">
        <v>1231</v>
      </c>
      <c r="C25" s="11">
        <v>44783</v>
      </c>
      <c r="D25" t="s">
        <v>1211</v>
      </c>
      <c r="E25">
        <v>31</v>
      </c>
    </row>
    <row r="26" spans="1:5" x14ac:dyDescent="0.3">
      <c r="A26">
        <v>25</v>
      </c>
      <c r="B26" t="s">
        <v>1232</v>
      </c>
      <c r="C26" s="11">
        <v>43738</v>
      </c>
      <c r="D26" t="s">
        <v>1206</v>
      </c>
      <c r="E26">
        <v>14</v>
      </c>
    </row>
    <row r="27" spans="1:5" x14ac:dyDescent="0.3">
      <c r="A27">
        <v>26</v>
      </c>
      <c r="B27" t="s">
        <v>1233</v>
      </c>
      <c r="C27" s="11">
        <v>44720</v>
      </c>
      <c r="D27" t="s">
        <v>1206</v>
      </c>
      <c r="E27">
        <v>35</v>
      </c>
    </row>
    <row r="28" spans="1:5" x14ac:dyDescent="0.3">
      <c r="A28">
        <v>27</v>
      </c>
      <c r="B28" t="s">
        <v>1234</v>
      </c>
      <c r="C28" s="11">
        <v>44855</v>
      </c>
      <c r="D28" t="s">
        <v>401</v>
      </c>
      <c r="E28">
        <v>12</v>
      </c>
    </row>
    <row r="29" spans="1:5" x14ac:dyDescent="0.3">
      <c r="A29">
        <v>28</v>
      </c>
      <c r="B29" t="s">
        <v>1235</v>
      </c>
      <c r="C29" s="11">
        <v>43546</v>
      </c>
      <c r="D29" t="s">
        <v>1208</v>
      </c>
      <c r="E29">
        <v>24</v>
      </c>
    </row>
    <row r="30" spans="1:5" x14ac:dyDescent="0.3">
      <c r="A30">
        <v>29</v>
      </c>
      <c r="B30" t="s">
        <v>1236</v>
      </c>
      <c r="C30" s="11">
        <v>43763</v>
      </c>
      <c r="D30" t="s">
        <v>401</v>
      </c>
      <c r="E30">
        <v>5</v>
      </c>
    </row>
    <row r="31" spans="1:5" x14ac:dyDescent="0.3">
      <c r="A31">
        <v>30</v>
      </c>
      <c r="B31" t="s">
        <v>1237</v>
      </c>
      <c r="C31" s="11">
        <v>43124</v>
      </c>
      <c r="D31" t="s">
        <v>1206</v>
      </c>
      <c r="E31">
        <v>7</v>
      </c>
    </row>
    <row r="32" spans="1:5" x14ac:dyDescent="0.3">
      <c r="A32">
        <v>31</v>
      </c>
      <c r="B32" t="s">
        <v>1238</v>
      </c>
      <c r="C32" s="11">
        <v>43554</v>
      </c>
      <c r="D32" t="s">
        <v>401</v>
      </c>
      <c r="E32">
        <v>30</v>
      </c>
    </row>
    <row r="33" spans="1:5" x14ac:dyDescent="0.3">
      <c r="A33">
        <v>32</v>
      </c>
      <c r="B33" t="s">
        <v>1239</v>
      </c>
      <c r="C33" s="11">
        <v>43648</v>
      </c>
      <c r="D33" t="s">
        <v>1208</v>
      </c>
      <c r="E33">
        <v>25</v>
      </c>
    </row>
    <row r="34" spans="1:5" x14ac:dyDescent="0.3">
      <c r="A34">
        <v>33</v>
      </c>
      <c r="B34" t="s">
        <v>1240</v>
      </c>
      <c r="C34" s="11">
        <v>43230</v>
      </c>
      <c r="D34" t="s">
        <v>401</v>
      </c>
      <c r="E34">
        <v>21</v>
      </c>
    </row>
    <row r="35" spans="1:5" x14ac:dyDescent="0.3">
      <c r="A35">
        <v>34</v>
      </c>
      <c r="B35" t="s">
        <v>1241</v>
      </c>
      <c r="C35" s="11">
        <v>45064</v>
      </c>
      <c r="D35" t="s">
        <v>1206</v>
      </c>
      <c r="E35">
        <v>17</v>
      </c>
    </row>
    <row r="36" spans="1:5" x14ac:dyDescent="0.3">
      <c r="A36">
        <v>35</v>
      </c>
      <c r="B36" t="s">
        <v>1242</v>
      </c>
      <c r="C36" s="11">
        <v>45104</v>
      </c>
      <c r="D36" t="s">
        <v>1214</v>
      </c>
      <c r="E36">
        <v>6</v>
      </c>
    </row>
    <row r="37" spans="1:5" x14ac:dyDescent="0.3">
      <c r="A37">
        <v>36</v>
      </c>
      <c r="B37" t="s">
        <v>1243</v>
      </c>
      <c r="C37" s="11">
        <v>43622</v>
      </c>
      <c r="D37" t="s">
        <v>1206</v>
      </c>
      <c r="E37">
        <v>30</v>
      </c>
    </row>
    <row r="38" spans="1:5" x14ac:dyDescent="0.3">
      <c r="A38">
        <v>37</v>
      </c>
      <c r="B38" t="s">
        <v>1244</v>
      </c>
      <c r="C38" s="11">
        <v>45156</v>
      </c>
      <c r="D38" t="s">
        <v>1208</v>
      </c>
      <c r="E38">
        <v>20</v>
      </c>
    </row>
    <row r="39" spans="1:5" x14ac:dyDescent="0.3">
      <c r="A39">
        <v>38</v>
      </c>
      <c r="B39" t="s">
        <v>1218</v>
      </c>
      <c r="C39" s="11">
        <v>43542</v>
      </c>
      <c r="D39" t="s">
        <v>1211</v>
      </c>
      <c r="E39">
        <v>36</v>
      </c>
    </row>
    <row r="40" spans="1:5" x14ac:dyDescent="0.3">
      <c r="A40">
        <v>39</v>
      </c>
      <c r="B40" t="s">
        <v>1245</v>
      </c>
      <c r="C40" s="11">
        <v>44510</v>
      </c>
      <c r="D40" t="s">
        <v>1214</v>
      </c>
      <c r="E40">
        <v>37</v>
      </c>
    </row>
    <row r="41" spans="1:5" x14ac:dyDescent="0.3">
      <c r="A41">
        <v>40</v>
      </c>
      <c r="B41" t="s">
        <v>1224</v>
      </c>
      <c r="C41" s="11">
        <v>44069</v>
      </c>
      <c r="D41" t="s">
        <v>1211</v>
      </c>
      <c r="E41">
        <v>1</v>
      </c>
    </row>
    <row r="42" spans="1:5" x14ac:dyDescent="0.3">
      <c r="A42">
        <v>41</v>
      </c>
      <c r="B42" t="s">
        <v>1246</v>
      </c>
      <c r="C42" s="11">
        <v>44860</v>
      </c>
      <c r="D42" t="s">
        <v>1214</v>
      </c>
      <c r="E42">
        <v>8</v>
      </c>
    </row>
    <row r="43" spans="1:5" x14ac:dyDescent="0.3">
      <c r="A43">
        <v>42</v>
      </c>
      <c r="B43" t="s">
        <v>1213</v>
      </c>
      <c r="C43" s="11">
        <v>44880</v>
      </c>
      <c r="D43" t="s">
        <v>1208</v>
      </c>
      <c r="E43">
        <v>35</v>
      </c>
    </row>
    <row r="44" spans="1:5" x14ac:dyDescent="0.3">
      <c r="A44">
        <v>43</v>
      </c>
      <c r="B44" t="s">
        <v>1247</v>
      </c>
      <c r="C44" s="11">
        <v>45091</v>
      </c>
      <c r="D44" t="s">
        <v>1211</v>
      </c>
      <c r="E44">
        <v>30</v>
      </c>
    </row>
    <row r="45" spans="1:5" x14ac:dyDescent="0.3">
      <c r="A45">
        <v>44</v>
      </c>
      <c r="B45" t="s">
        <v>1244</v>
      </c>
      <c r="C45" s="11">
        <v>44115</v>
      </c>
      <c r="D45" t="s">
        <v>1214</v>
      </c>
      <c r="E45">
        <v>7</v>
      </c>
    </row>
    <row r="46" spans="1:5" x14ac:dyDescent="0.3">
      <c r="A46">
        <v>45</v>
      </c>
      <c r="B46" t="s">
        <v>1248</v>
      </c>
      <c r="C46" s="11">
        <v>43866</v>
      </c>
      <c r="D46" t="s">
        <v>401</v>
      </c>
      <c r="E46">
        <v>16</v>
      </c>
    </row>
    <row r="47" spans="1:5" x14ac:dyDescent="0.3">
      <c r="A47">
        <v>46</v>
      </c>
      <c r="B47" t="s">
        <v>1249</v>
      </c>
      <c r="C47" s="11">
        <v>44180</v>
      </c>
      <c r="D47" t="s">
        <v>401</v>
      </c>
      <c r="E47">
        <v>7</v>
      </c>
    </row>
    <row r="48" spans="1:5" x14ac:dyDescent="0.3">
      <c r="A48">
        <v>47</v>
      </c>
      <c r="B48" t="s">
        <v>1250</v>
      </c>
      <c r="C48" s="11">
        <v>43913</v>
      </c>
      <c r="D48" t="s">
        <v>1208</v>
      </c>
      <c r="E48">
        <v>33</v>
      </c>
    </row>
    <row r="49" spans="1:5" x14ac:dyDescent="0.3">
      <c r="A49">
        <v>48</v>
      </c>
      <c r="B49" t="s">
        <v>1251</v>
      </c>
      <c r="C49" s="11">
        <v>45158</v>
      </c>
      <c r="D49" t="s">
        <v>1214</v>
      </c>
      <c r="E49">
        <v>14</v>
      </c>
    </row>
    <row r="50" spans="1:5" x14ac:dyDescent="0.3">
      <c r="A50">
        <v>49</v>
      </c>
      <c r="B50" t="s">
        <v>1252</v>
      </c>
      <c r="C50" s="11">
        <v>45522</v>
      </c>
      <c r="D50" t="s">
        <v>401</v>
      </c>
      <c r="E50">
        <v>27</v>
      </c>
    </row>
    <row r="51" spans="1:5" x14ac:dyDescent="0.3">
      <c r="A51">
        <v>50</v>
      </c>
      <c r="B51" t="s">
        <v>1253</v>
      </c>
      <c r="C51" s="11">
        <v>43642</v>
      </c>
      <c r="D51" t="s">
        <v>1208</v>
      </c>
      <c r="E51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Data 1</vt:lpstr>
      <vt:lpstr>Data 2</vt:lpstr>
      <vt:lpstr>Data 3</vt:lpstr>
      <vt:lpstr>Data 4</vt:lpstr>
      <vt:lpstr>Data 5</vt:lpstr>
      <vt:lpstr>Data 6</vt:lpstr>
      <vt:lpstr>Data 7</vt:lpstr>
      <vt:lpstr>Data 8</vt:lpstr>
      <vt:lpstr>Data 9</vt:lpstr>
      <vt:lpstr>Data 10</vt:lpstr>
      <vt:lpstr>Data 11</vt:lpstr>
      <vt:lpstr>Data 12</vt:lpstr>
      <vt:lpstr>Data 13</vt:lpstr>
      <vt:lpstr>Data 14</vt:lpstr>
      <vt:lpstr>Data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SAUMYA SHAH</dc:creator>
  <cp:lastModifiedBy>SAUMYA SHAH</cp:lastModifiedBy>
  <dcterms:created xsi:type="dcterms:W3CDTF">2015-06-05T18:17:20Z</dcterms:created>
  <dcterms:modified xsi:type="dcterms:W3CDTF">2026-09-26T14:48:48Z</dcterms:modified>
</cp:coreProperties>
</file>