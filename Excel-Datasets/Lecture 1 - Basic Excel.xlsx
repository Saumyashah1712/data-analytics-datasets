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13_ncr:1_{F0A40D8A-7B60-4FDD-870E-34DAC03E5BA5}" xr6:coauthVersionLast="47" xr6:coauthVersionMax="47" xr10:uidLastSave="{00000000-0000-0000-0000-000000000000}"/>
  <bookViews>
    <workbookView xWindow="-108" yWindow="-108" windowWidth="23256" windowHeight="12456" xr2:uid="{036C207B-26B7-4C88-8645-EA1B8F169D25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3" l="1"/>
  <c r="G3" i="3"/>
  <c r="G4" i="3"/>
  <c r="G5" i="3"/>
  <c r="G6" i="3"/>
  <c r="G7" i="3"/>
  <c r="G8" i="3"/>
  <c r="G9" i="3"/>
  <c r="H9" i="3" s="1"/>
  <c r="G10" i="3"/>
  <c r="G11" i="3"/>
  <c r="G2" i="3"/>
  <c r="H2" i="3" s="1"/>
  <c r="H11" i="3"/>
  <c r="H3" i="3"/>
  <c r="H4" i="3"/>
  <c r="H5" i="3"/>
  <c r="H6" i="3"/>
  <c r="H7" i="3"/>
  <c r="H8" i="3"/>
  <c r="H10" i="3"/>
  <c r="F2" i="3"/>
  <c r="F3" i="3"/>
  <c r="F4" i="3"/>
  <c r="F5" i="3"/>
  <c r="F6" i="3"/>
  <c r="F7" i="3"/>
  <c r="F8" i="3"/>
  <c r="F9" i="3"/>
  <c r="F10" i="3"/>
  <c r="F11" i="3"/>
  <c r="D4" i="1"/>
  <c r="E4" i="1" s="1"/>
  <c r="D5" i="1"/>
  <c r="D6" i="1"/>
  <c r="E6" i="1" s="1"/>
  <c r="D7" i="1"/>
  <c r="E7" i="1" s="1"/>
  <c r="D8" i="1"/>
  <c r="E8" i="1" s="1"/>
  <c r="D9" i="1"/>
  <c r="E9" i="1" s="1"/>
  <c r="D10" i="1"/>
  <c r="D11" i="1"/>
  <c r="E11" i="1" s="1"/>
  <c r="D12" i="1"/>
  <c r="E12" i="1" s="1"/>
  <c r="D13" i="1"/>
  <c r="M6" i="1"/>
  <c r="M5" i="1"/>
  <c r="F11" i="1" l="1"/>
  <c r="G11" i="1" s="1"/>
  <c r="F9" i="1"/>
  <c r="G9" i="1" s="1"/>
  <c r="F7" i="1"/>
  <c r="G7" i="1" s="1"/>
  <c r="E13" i="1"/>
  <c r="F13" i="1" s="1"/>
  <c r="G13" i="1" s="1"/>
  <c r="F8" i="1"/>
  <c r="G8" i="1" s="1"/>
  <c r="E10" i="1"/>
  <c r="F10" i="1" s="1"/>
  <c r="G10" i="1" s="1"/>
  <c r="E5" i="1"/>
  <c r="F5" i="1" s="1"/>
  <c r="G5" i="1" s="1"/>
  <c r="F6" i="1"/>
  <c r="G6" i="1" s="1"/>
  <c r="F12" i="1"/>
  <c r="G12" i="1" s="1"/>
  <c r="F4" i="1"/>
  <c r="G4" i="1" s="1"/>
</calcChain>
</file>

<file path=xl/sharedStrings.xml><?xml version="1.0" encoding="utf-8"?>
<sst xmlns="http://schemas.openxmlformats.org/spreadsheetml/2006/main" count="77" uniqueCount="60">
  <si>
    <t>Name</t>
  </si>
  <si>
    <t>Email</t>
  </si>
  <si>
    <t>Contactno</t>
  </si>
  <si>
    <t>sno</t>
  </si>
  <si>
    <t>abc</t>
  </si>
  <si>
    <t>def</t>
  </si>
  <si>
    <t>ghi</t>
  </si>
  <si>
    <t>jkl</t>
  </si>
  <si>
    <t>mno</t>
  </si>
  <si>
    <t>pqr</t>
  </si>
  <si>
    <t>stu</t>
  </si>
  <si>
    <t>vwx</t>
  </si>
  <si>
    <t>yza</t>
  </si>
  <si>
    <t>bcd</t>
  </si>
  <si>
    <t>abc@gmail.com</t>
  </si>
  <si>
    <t>ghi@gmail.com</t>
  </si>
  <si>
    <t>jkl@gmail.com</t>
  </si>
  <si>
    <t>mno@gmail.com</t>
  </si>
  <si>
    <t>pqr@gmail.com</t>
  </si>
  <si>
    <t>stu@gmail.com</t>
  </si>
  <si>
    <t>vwx@gmail.com</t>
  </si>
  <si>
    <t>yza@gmail.com</t>
  </si>
  <si>
    <t>bcd@gmail.com</t>
  </si>
  <si>
    <t>def@outlook.com</t>
  </si>
  <si>
    <t>Address</t>
  </si>
  <si>
    <t>456, mahadev colony, vapi</t>
  </si>
  <si>
    <t>123, 
ring road, 
ahmedabad</t>
  </si>
  <si>
    <t>789, vivaanta, ringroad</t>
  </si>
  <si>
    <t>908, lily flats, ahmedabad</t>
  </si>
  <si>
    <t>765, rajendra colony, surat</t>
  </si>
  <si>
    <t>432, tea circle, ahmedabad</t>
  </si>
  <si>
    <t>Sum</t>
  </si>
  <si>
    <t>a</t>
  </si>
  <si>
    <t>b</t>
  </si>
  <si>
    <t>c=a+b</t>
  </si>
  <si>
    <t>Column1</t>
  </si>
  <si>
    <t>Salary</t>
  </si>
  <si>
    <t>Bonus</t>
  </si>
  <si>
    <t>Salary+Bonus</t>
  </si>
  <si>
    <t>OA</t>
  </si>
  <si>
    <t>net salary</t>
  </si>
  <si>
    <t>Rollno</t>
  </si>
  <si>
    <t>Math</t>
  </si>
  <si>
    <t>Science</t>
  </si>
  <si>
    <t>English</t>
  </si>
  <si>
    <t>Result</t>
  </si>
  <si>
    <t>Percentage</t>
  </si>
  <si>
    <t>grade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</si>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</sst>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2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9" fontId="0" fillId="0" borderId="0" xfId="0" applyNumberFormat="1"/>
    <xf numFmtId="0" fontId="2" fillId="0" borderId="0" xfId="0" applyFont="1" applyAlignment="1">
      <alignment horizontal="center" vertical="center"/>
    </xf>
    <xf numFmtId="9" fontId="0" fillId="0" borderId="0" xfId="1" applyFont="1"/>
  </cellXfs>
  <cellStyles count="3">
    <cellStyle name="Hyperlink" xfId="2" builtinId="8"/>
    <cellStyle name="Normal" xfId="0" builtinId="0"/>
    <cellStyle name="Percent" xfId="1" builtinId="5"/>
  </cellStyles>
  <dxfs count="9">
    <dxf>
      <alignment horizontal="general" vertical="bottom" textRotation="0" wrapText="1" indent="0" justifyLastLine="0" shrinkToFit="0" readingOrder="0"/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B5862-3DFD-494A-AD86-D6AA84FFCFEC}" name="Table1" displayName="Table1" ref="A1:M13" totalsRowShown="0">
  <autoFilter ref="A1:M13" xr:uid="{EA0B5862-3DFD-494A-AD86-D6AA84FFCFEC}"/>
  <tableColumns count="13">
    <tableColumn id="1" xr3:uid="{D6763873-CBC6-431D-8862-039CDB9DB64E}" name="Column1"/>
    <tableColumn id="2" xr3:uid="{9C920EBF-675D-4AC7-8755-FEAD0ECCE647}" name="Column2"/>
    <tableColumn id="3" xr3:uid="{6DE610D5-AE87-4827-8699-09001F698605}" name="Column3"/>
    <tableColumn id="4" xr3:uid="{98558A0A-BC7E-42E2-BFE1-6834E8B0B7EE}" name="Column4">
      <calculatedColumnFormula>Sheet1!$C2+$B$2</calculatedColumnFormula>
    </tableColumn>
    <tableColumn id="5" xr3:uid="{7D2C61D1-CEF8-4171-859D-6AFE93F3A28B}" name="Column5">
      <calculatedColumnFormula>D2*D$2</calculatedColumnFormula>
    </tableColumn>
    <tableColumn id="6" xr3:uid="{56AD94AF-C72B-4B05-8098-0E90A181BD27}" name="Column6">
      <calculatedColumnFormula>D2+E2</calculatedColumnFormula>
    </tableColumn>
    <tableColumn id="7" xr3:uid="{0D746562-BB6F-4B90-AE21-1D37B80C8FC8}" name="Column7">
      <calculatedColumnFormula>IF($F2&gt;50000,TRUE,FALSE)</calculatedColumnFormula>
    </tableColumn>
    <tableColumn id="8" xr3:uid="{83B602ED-02A3-40ED-9ED9-4EE3F1F86160}" name="Column8" dataCellStyle="Hyperlink"/>
    <tableColumn id="9" xr3:uid="{167BA24F-3DAD-4CCA-808B-0F9CC8398541}" name="Column9"/>
    <tableColumn id="10" xr3:uid="{4E1A6CA2-BB36-4B4A-903E-EA87734AC4DD}" name="Column10" dataDxfId="0"/>
    <tableColumn id="11" xr3:uid="{CB3C0C15-A375-41F0-AC0C-CE71674703E2}" name="Column11"/>
    <tableColumn id="12" xr3:uid="{AF50B53A-A109-4A22-961C-C61B3610983E}" name="Column12"/>
    <tableColumn id="13" xr3:uid="{856F08E5-D410-4513-B3E9-657BB24AF259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wx@gmail.com" TargetMode="External"/><Relationship Id="rId3" Type="http://schemas.openxmlformats.org/officeDocument/2006/relationships/hyperlink" Target="mailto:ghi@gmail.com" TargetMode="External"/><Relationship Id="rId7" Type="http://schemas.openxmlformats.org/officeDocument/2006/relationships/hyperlink" Target="mailto:stu@gmail.com" TargetMode="External"/><Relationship Id="rId2" Type="http://schemas.openxmlformats.org/officeDocument/2006/relationships/hyperlink" Target="mailto:def@outlook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pqr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mno@gmail.com" TargetMode="External"/><Relationship Id="rId10" Type="http://schemas.openxmlformats.org/officeDocument/2006/relationships/hyperlink" Target="mailto:bcd@gmail.com" TargetMode="External"/><Relationship Id="rId4" Type="http://schemas.openxmlformats.org/officeDocument/2006/relationships/hyperlink" Target="mailto:jkl@gmail.com" TargetMode="External"/><Relationship Id="rId9" Type="http://schemas.openxmlformats.org/officeDocument/2006/relationships/hyperlink" Target="mailto:y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5375-7372-4586-9712-9C166AA040A2}">
  <dimension ref="A1:M14"/>
  <sheetViews>
    <sheetView tabSelected="1" workbookViewId="0">
      <selection sqref="A1:M13"/>
    </sheetView>
  </sheetViews>
  <sheetFormatPr defaultRowHeight="14.4" x14ac:dyDescent="0.3"/>
  <cols>
    <col min="1" max="3" width="10.33203125" customWidth="1"/>
    <col min="4" max="4" width="15.5546875" bestFit="1" customWidth="1"/>
    <col min="5" max="5" width="10.33203125" customWidth="1"/>
    <col min="6" max="6" width="11.21875" bestFit="1" customWidth="1"/>
    <col min="7" max="7" width="10.77734375" bestFit="1" customWidth="1"/>
    <col min="8" max="8" width="15.77734375" bestFit="1" customWidth="1"/>
    <col min="9" max="9" width="12" bestFit="1" customWidth="1"/>
    <col min="10" max="13" width="11.33203125" customWidth="1"/>
  </cols>
  <sheetData>
    <row r="1" spans="1:13" x14ac:dyDescent="0.3">
      <c r="A1" t="s">
        <v>35</v>
      </c>
      <c r="B1" t="s">
        <v>48</v>
      </c>
      <c r="C1" t="s">
        <v>49</v>
      </c>
      <c r="D1" s="16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ht="15" thickBot="1" x14ac:dyDescent="0.35">
      <c r="A2" t="s">
        <v>37</v>
      </c>
      <c r="B2">
        <v>2500</v>
      </c>
      <c r="C2" t="s">
        <v>39</v>
      </c>
      <c r="D2" s="16">
        <v>0.1</v>
      </c>
    </row>
    <row r="3" spans="1:13" ht="18.600000000000001" thickBot="1" x14ac:dyDescent="0.4">
      <c r="A3" s="3" t="s">
        <v>3</v>
      </c>
      <c r="B3" s="3" t="s">
        <v>0</v>
      </c>
      <c r="C3" s="3" t="s">
        <v>36</v>
      </c>
      <c r="D3" s="3" t="s">
        <v>38</v>
      </c>
      <c r="E3" s="3" t="s">
        <v>39</v>
      </c>
      <c r="F3" s="3" t="s">
        <v>40</v>
      </c>
      <c r="G3" s="3" t="s">
        <v>35</v>
      </c>
      <c r="H3" s="3" t="s">
        <v>1</v>
      </c>
      <c r="I3" s="3" t="s">
        <v>2</v>
      </c>
      <c r="J3" s="3" t="s">
        <v>24</v>
      </c>
      <c r="K3" s="4" t="s">
        <v>31</v>
      </c>
      <c r="L3" s="5"/>
      <c r="M3" s="6"/>
    </row>
    <row r="4" spans="1:13" ht="57.6" x14ac:dyDescent="0.3">
      <c r="A4">
        <v>1</v>
      </c>
      <c r="B4" t="s">
        <v>4</v>
      </c>
      <c r="C4">
        <v>12345</v>
      </c>
      <c r="D4">
        <f>Sheet1!$C4+$B$2</f>
        <v>14845</v>
      </c>
      <c r="E4">
        <f>D4*D$2</f>
        <v>1484.5</v>
      </c>
      <c r="F4">
        <f t="shared" ref="F4:F13" si="0">D4+E4</f>
        <v>16329.5</v>
      </c>
      <c r="G4" t="b">
        <f>IF($F4&gt;50000,TRUE,FALSE)</f>
        <v>0</v>
      </c>
      <c r="H4" s="1" t="s">
        <v>14</v>
      </c>
      <c r="I4">
        <v>123456</v>
      </c>
      <c r="J4" s="2" t="s">
        <v>26</v>
      </c>
      <c r="K4" s="8" t="s">
        <v>32</v>
      </c>
      <c r="L4" s="9" t="s">
        <v>33</v>
      </c>
      <c r="M4" s="10" t="s">
        <v>34</v>
      </c>
    </row>
    <row r="5" spans="1:13" ht="57.6" x14ac:dyDescent="0.3">
      <c r="A5">
        <v>2</v>
      </c>
      <c r="B5" t="s">
        <v>5</v>
      </c>
      <c r="C5">
        <v>67890</v>
      </c>
      <c r="D5">
        <f>Sheet1!$C5+$B$2</f>
        <v>70390</v>
      </c>
      <c r="E5">
        <f>D5*D$2</f>
        <v>7039</v>
      </c>
      <c r="F5">
        <f t="shared" si="0"/>
        <v>77429</v>
      </c>
      <c r="G5" t="b">
        <f>IF($F5&gt;50000,TRUE,FALSE)</f>
        <v>1</v>
      </c>
      <c r="H5" s="1" t="s">
        <v>23</v>
      </c>
      <c r="I5">
        <v>789012</v>
      </c>
      <c r="J5" s="2" t="s">
        <v>25</v>
      </c>
      <c r="K5" s="11">
        <v>12</v>
      </c>
      <c r="L5" s="7">
        <v>56</v>
      </c>
      <c r="M5" s="12">
        <f>K5+L5</f>
        <v>68</v>
      </c>
    </row>
    <row r="6" spans="1:13" ht="43.8" thickBot="1" x14ac:dyDescent="0.35">
      <c r="A6">
        <v>3</v>
      </c>
      <c r="B6" t="s">
        <v>6</v>
      </c>
      <c r="C6">
        <v>98760</v>
      </c>
      <c r="D6">
        <f>Sheet1!$C6+$B$2</f>
        <v>101260</v>
      </c>
      <c r="E6">
        <f>D6*D$2</f>
        <v>10126</v>
      </c>
      <c r="F6">
        <f t="shared" si="0"/>
        <v>111386</v>
      </c>
      <c r="G6" t="b">
        <f>IF($F6&gt;50000,TRUE,FALSE)</f>
        <v>1</v>
      </c>
      <c r="H6" s="1" t="s">
        <v>15</v>
      </c>
      <c r="I6">
        <v>345678</v>
      </c>
      <c r="J6" s="2" t="s">
        <v>27</v>
      </c>
      <c r="K6" s="13">
        <v>34</v>
      </c>
      <c r="L6" s="14">
        <v>78</v>
      </c>
      <c r="M6" s="15">
        <f>K6+L6</f>
        <v>112</v>
      </c>
    </row>
    <row r="7" spans="1:13" ht="57.6" x14ac:dyDescent="0.3">
      <c r="A7">
        <v>4</v>
      </c>
      <c r="B7" t="s">
        <v>7</v>
      </c>
      <c r="C7">
        <v>54321</v>
      </c>
      <c r="D7">
        <f>Sheet1!$C7+$B$2</f>
        <v>56821</v>
      </c>
      <c r="E7">
        <f>D7*D$2</f>
        <v>5682.1</v>
      </c>
      <c r="F7">
        <f t="shared" si="0"/>
        <v>62503.1</v>
      </c>
      <c r="G7" t="b">
        <f>IF($F7&gt;50000,TRUE,FALSE)</f>
        <v>1</v>
      </c>
      <c r="H7" s="1" t="s">
        <v>16</v>
      </c>
      <c r="I7">
        <v>901234</v>
      </c>
      <c r="J7" s="2" t="s">
        <v>28</v>
      </c>
    </row>
    <row r="8" spans="1:13" ht="57.6" x14ac:dyDescent="0.3">
      <c r="A8">
        <v>5</v>
      </c>
      <c r="B8" t="s">
        <v>8</v>
      </c>
      <c r="C8">
        <v>12345</v>
      </c>
      <c r="D8">
        <f>Sheet1!$C8+$B$2</f>
        <v>14845</v>
      </c>
      <c r="E8">
        <f>D8*D$2</f>
        <v>1484.5</v>
      </c>
      <c r="F8">
        <f t="shared" si="0"/>
        <v>16329.5</v>
      </c>
      <c r="G8" t="b">
        <f>IF($F8&gt;50000,TRUE,FALSE)</f>
        <v>0</v>
      </c>
      <c r="H8" s="1" t="s">
        <v>17</v>
      </c>
      <c r="I8">
        <v>567890</v>
      </c>
      <c r="J8" s="2" t="s">
        <v>29</v>
      </c>
    </row>
    <row r="9" spans="1:13" ht="57.6" x14ac:dyDescent="0.3">
      <c r="A9">
        <v>6</v>
      </c>
      <c r="B9" t="s">
        <v>9</v>
      </c>
      <c r="C9">
        <v>67890</v>
      </c>
      <c r="D9">
        <f>Sheet1!$C9+$B$2</f>
        <v>70390</v>
      </c>
      <c r="E9">
        <f>D9*D$2</f>
        <v>7039</v>
      </c>
      <c r="F9">
        <f t="shared" si="0"/>
        <v>77429</v>
      </c>
      <c r="G9" t="b">
        <f>IF($F9&gt;50000,TRUE,FALSE)</f>
        <v>1</v>
      </c>
      <c r="H9" s="1" t="s">
        <v>18</v>
      </c>
      <c r="I9">
        <v>987654</v>
      </c>
      <c r="J9" s="2" t="s">
        <v>30</v>
      </c>
    </row>
    <row r="10" spans="1:13" ht="57.6" x14ac:dyDescent="0.3">
      <c r="A10">
        <v>7</v>
      </c>
      <c r="B10" t="s">
        <v>10</v>
      </c>
      <c r="C10">
        <v>98760</v>
      </c>
      <c r="D10">
        <f>Sheet1!$C10+$B$2</f>
        <v>101260</v>
      </c>
      <c r="E10">
        <f>D10*D$2</f>
        <v>10126</v>
      </c>
      <c r="F10">
        <f t="shared" si="0"/>
        <v>111386</v>
      </c>
      <c r="G10" t="b">
        <f>IF($F10&gt;50000,TRUE,FALSE)</f>
        <v>1</v>
      </c>
      <c r="H10" s="1" t="s">
        <v>19</v>
      </c>
      <c r="I10" s="2">
        <v>321098</v>
      </c>
      <c r="J10" s="2" t="s">
        <v>26</v>
      </c>
    </row>
    <row r="11" spans="1:13" ht="57.6" x14ac:dyDescent="0.3">
      <c r="A11">
        <v>8</v>
      </c>
      <c r="B11" t="s">
        <v>11</v>
      </c>
      <c r="C11">
        <v>54321</v>
      </c>
      <c r="D11">
        <f>Sheet1!$C11+$B$2</f>
        <v>56821</v>
      </c>
      <c r="E11">
        <f>D11*D$2</f>
        <v>5682.1</v>
      </c>
      <c r="F11">
        <f t="shared" si="0"/>
        <v>62503.1</v>
      </c>
      <c r="G11" t="b">
        <f>IF($F11&gt;50000,TRUE,FALSE)</f>
        <v>1</v>
      </c>
      <c r="H11" s="1" t="s">
        <v>20</v>
      </c>
      <c r="I11">
        <v>765432</v>
      </c>
      <c r="J11" s="2" t="s">
        <v>25</v>
      </c>
    </row>
    <row r="12" spans="1:13" ht="43.2" x14ac:dyDescent="0.3">
      <c r="A12">
        <v>9</v>
      </c>
      <c r="B12" t="s">
        <v>12</v>
      </c>
      <c r="C12">
        <v>12345</v>
      </c>
      <c r="D12">
        <f>Sheet1!$C12+$B$2</f>
        <v>14845</v>
      </c>
      <c r="E12">
        <f>D12*D$2</f>
        <v>1484.5</v>
      </c>
      <c r="F12">
        <f t="shared" si="0"/>
        <v>16329.5</v>
      </c>
      <c r="G12" t="b">
        <f>IF($F12&gt;50000,TRUE,FALSE)</f>
        <v>0</v>
      </c>
      <c r="H12" s="1" t="s">
        <v>21</v>
      </c>
      <c r="I12">
        <v>109876</v>
      </c>
      <c r="J12" s="2" t="s">
        <v>27</v>
      </c>
    </row>
    <row r="13" spans="1:13" ht="57.6" x14ac:dyDescent="0.3">
      <c r="A13">
        <v>10</v>
      </c>
      <c r="B13" t="s">
        <v>13</v>
      </c>
      <c r="C13">
        <v>67890</v>
      </c>
      <c r="D13">
        <f>Sheet1!$C13+$B$2</f>
        <v>70390</v>
      </c>
      <c r="E13">
        <f>D13*D$2</f>
        <v>7039</v>
      </c>
      <c r="F13">
        <f t="shared" si="0"/>
        <v>77429</v>
      </c>
      <c r="G13" t="b">
        <f>IF($F13&gt;50000,TRUE,FALSE)</f>
        <v>1</v>
      </c>
      <c r="H13" s="1" t="s">
        <v>22</v>
      </c>
      <c r="I13">
        <v>543210</v>
      </c>
      <c r="J13" s="2" t="s">
        <v>28</v>
      </c>
    </row>
    <row r="14" spans="1:13" x14ac:dyDescent="0.3">
      <c r="F14" s="1"/>
      <c r="H14" s="2"/>
    </row>
  </sheetData>
  <conditionalFormatting sqref="B3:I12">
    <cfRule type="expression" dxfId="8" priority="1">
      <formula>$F4&gt;100000</formula>
    </cfRule>
    <cfRule type="expression" dxfId="7" priority="2">
      <formula>$F4&lt;50000</formula>
    </cfRule>
    <cfRule type="expression" dxfId="6" priority="3" stopIfTrue="1">
      <formula>$F4&gt;50000</formula>
    </cfRule>
  </conditionalFormatting>
  <conditionalFormatting sqref="B13:I13">
    <cfRule type="expression" dxfId="3" priority="5">
      <formula>#REF!&gt;100000</formula>
    </cfRule>
    <cfRule type="expression" dxfId="2" priority="6">
      <formula>#REF!&lt;50000</formula>
    </cfRule>
    <cfRule type="expression" dxfId="1" priority="7" stopIfTrue="1">
      <formula>#REF!&gt;50000</formula>
    </cfRule>
  </conditionalFormatting>
  <hyperlinks>
    <hyperlink ref="H4" r:id="rId1" xr:uid="{56DE8EC4-61DE-4CA4-80E4-AC9E100DB338}"/>
    <hyperlink ref="H5" r:id="rId2" xr:uid="{A1FF7295-B32D-4171-9B10-B833B96EF16D}"/>
    <hyperlink ref="H6" r:id="rId3" xr:uid="{E5AC0887-36B7-486C-93B9-89769AC0205D}"/>
    <hyperlink ref="H7" r:id="rId4" xr:uid="{B236A0DA-1EE8-4619-85E7-11751573F562}"/>
    <hyperlink ref="H8" r:id="rId5" xr:uid="{C1DDED80-85EF-4822-9753-22777C94E75A}"/>
    <hyperlink ref="H9" r:id="rId6" xr:uid="{CC837305-81DB-47E9-87D3-900483BC1FD9}"/>
    <hyperlink ref="H10" r:id="rId7" xr:uid="{E8E89DC0-1C80-4D5A-9CF8-8488C0F04E73}"/>
    <hyperlink ref="H11" r:id="rId8" xr:uid="{AE5C060E-162A-4315-AA1B-36EE180156CF}"/>
    <hyperlink ref="H12" r:id="rId9" xr:uid="{832D755A-DC50-4541-B7F3-852F3CEB4BA6}"/>
    <hyperlink ref="H13" r:id="rId10" xr:uid="{25C9123F-4921-4ABE-94C1-5F5EAD4D5541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7E52-AD30-41D4-9721-AE5DFDF911C9}">
  <dimension ref="A1:I11"/>
  <sheetViews>
    <sheetView workbookViewId="0">
      <selection activeCell="E9" sqref="E9"/>
    </sheetView>
  </sheetViews>
  <sheetFormatPr defaultRowHeight="14.4" x14ac:dyDescent="0.3"/>
  <cols>
    <col min="7" max="7" width="10.21875" bestFit="1" customWidth="1"/>
  </cols>
  <sheetData>
    <row r="1" spans="1:9" x14ac:dyDescent="0.3">
      <c r="A1" s="17" t="s">
        <v>41</v>
      </c>
      <c r="B1" s="17" t="s">
        <v>0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46</v>
      </c>
      <c r="H1" s="17" t="s">
        <v>47</v>
      </c>
    </row>
    <row r="2" spans="1:9" x14ac:dyDescent="0.3">
      <c r="A2">
        <v>101</v>
      </c>
      <c r="B2" t="s">
        <v>4</v>
      </c>
      <c r="C2">
        <v>90</v>
      </c>
      <c r="D2">
        <v>55</v>
      </c>
      <c r="E2">
        <v>80</v>
      </c>
      <c r="F2" t="str">
        <f>IF(AND(C2&gt;34,D2&gt;34,E2&gt;34),"Pass","Fail")</f>
        <v>Pass</v>
      </c>
      <c r="G2" s="18">
        <f>IF(F2="Pass",AVERAGE(C2,D2,E2)/100,F2)</f>
        <v>0.75</v>
      </c>
      <c r="H2" t="str">
        <f>IF(F2="pass",IF(G2&gt;90%,"A+",IF(G2&gt;80%,"A",IF(G2&gt;70%,"B+",IF(G2&gt;60%,"B","C")))),F2)</f>
        <v>B+</v>
      </c>
    </row>
    <row r="3" spans="1:9" x14ac:dyDescent="0.3">
      <c r="A3">
        <v>102</v>
      </c>
      <c r="B3" t="s">
        <v>5</v>
      </c>
      <c r="C3">
        <v>87</v>
      </c>
      <c r="D3">
        <v>92</v>
      </c>
      <c r="E3">
        <v>70</v>
      </c>
      <c r="F3" t="str">
        <f t="shared" ref="F3:F11" si="0">IF(AND(C3&gt;34,D3&gt;34,E3&gt;34),"Pass","fail")</f>
        <v>Pass</v>
      </c>
      <c r="G3" s="18">
        <f t="shared" ref="G3:G11" si="1">IF(F3="Pass",AVERAGE(C3,D3,E3)/100,F3)</f>
        <v>0.83</v>
      </c>
      <c r="H3" t="str">
        <f t="shared" ref="H3:H10" si="2">IF(F3="pass",IF(G3&gt;90%,"A+",IF(G3&gt;80%,"A",IF(G3&gt;70%,"B+",IF(G3&gt;60%,"B","C")))),F3)</f>
        <v>A</v>
      </c>
    </row>
    <row r="4" spans="1:9" x14ac:dyDescent="0.3">
      <c r="A4">
        <v>103</v>
      </c>
      <c r="B4" t="s">
        <v>6</v>
      </c>
      <c r="C4">
        <v>65</v>
      </c>
      <c r="D4">
        <v>83</v>
      </c>
      <c r="E4">
        <v>60</v>
      </c>
      <c r="F4" t="str">
        <f t="shared" si="0"/>
        <v>Pass</v>
      </c>
      <c r="G4" s="18">
        <f t="shared" si="1"/>
        <v>0.69333333333333325</v>
      </c>
      <c r="H4" t="str">
        <f t="shared" si="2"/>
        <v>B</v>
      </c>
    </row>
    <row r="5" spans="1:9" x14ac:dyDescent="0.3">
      <c r="A5">
        <v>104</v>
      </c>
      <c r="B5" t="s">
        <v>7</v>
      </c>
      <c r="C5">
        <v>43</v>
      </c>
      <c r="D5">
        <v>74</v>
      </c>
      <c r="E5">
        <v>50</v>
      </c>
      <c r="F5" t="str">
        <f t="shared" si="0"/>
        <v>Pass</v>
      </c>
      <c r="G5" s="18">
        <f t="shared" si="1"/>
        <v>0.55666666666666664</v>
      </c>
      <c r="H5" t="str">
        <f t="shared" si="2"/>
        <v>C</v>
      </c>
    </row>
    <row r="6" spans="1:9" x14ac:dyDescent="0.3">
      <c r="A6">
        <v>105</v>
      </c>
      <c r="B6" t="s">
        <v>8</v>
      </c>
      <c r="C6">
        <v>21</v>
      </c>
      <c r="D6">
        <v>65</v>
      </c>
      <c r="E6">
        <v>40</v>
      </c>
      <c r="F6" t="str">
        <f t="shared" si="0"/>
        <v>fail</v>
      </c>
      <c r="G6" s="18" t="str">
        <f t="shared" si="1"/>
        <v>fail</v>
      </c>
      <c r="H6" t="str">
        <f t="shared" si="2"/>
        <v>fail</v>
      </c>
    </row>
    <row r="7" spans="1:9" x14ac:dyDescent="0.3">
      <c r="A7">
        <v>106</v>
      </c>
      <c r="B7" t="s">
        <v>9</v>
      </c>
      <c r="C7">
        <v>56</v>
      </c>
      <c r="D7">
        <v>56</v>
      </c>
      <c r="E7">
        <v>78</v>
      </c>
      <c r="F7" t="str">
        <f t="shared" si="0"/>
        <v>Pass</v>
      </c>
      <c r="G7" s="18">
        <f t="shared" si="1"/>
        <v>0.6333333333333333</v>
      </c>
      <c r="H7" t="str">
        <f t="shared" si="2"/>
        <v>B</v>
      </c>
    </row>
    <row r="8" spans="1:9" x14ac:dyDescent="0.3">
      <c r="A8">
        <v>107</v>
      </c>
      <c r="B8" t="s">
        <v>10</v>
      </c>
      <c r="C8">
        <v>34</v>
      </c>
      <c r="D8">
        <v>47</v>
      </c>
      <c r="E8">
        <v>68</v>
      </c>
      <c r="F8" t="str">
        <f t="shared" si="0"/>
        <v>fail</v>
      </c>
      <c r="G8" s="18" t="str">
        <f t="shared" si="1"/>
        <v>fail</v>
      </c>
      <c r="H8" t="str">
        <f t="shared" si="2"/>
        <v>fail</v>
      </c>
    </row>
    <row r="9" spans="1:9" x14ac:dyDescent="0.3">
      <c r="A9">
        <v>108</v>
      </c>
      <c r="B9" t="s">
        <v>11</v>
      </c>
      <c r="C9">
        <v>56</v>
      </c>
      <c r="D9">
        <v>38</v>
      </c>
      <c r="E9">
        <v>45</v>
      </c>
      <c r="F9" t="str">
        <f t="shared" si="0"/>
        <v>Pass</v>
      </c>
      <c r="G9" s="18">
        <f t="shared" si="1"/>
        <v>0.46333333333333337</v>
      </c>
      <c r="H9" t="str">
        <f t="shared" si="2"/>
        <v>C</v>
      </c>
    </row>
    <row r="10" spans="1:9" x14ac:dyDescent="0.3">
      <c r="A10">
        <v>109</v>
      </c>
      <c r="B10" t="s">
        <v>12</v>
      </c>
      <c r="C10">
        <v>78</v>
      </c>
      <c r="D10">
        <v>29</v>
      </c>
      <c r="E10">
        <v>99</v>
      </c>
      <c r="F10" t="str">
        <f t="shared" si="0"/>
        <v>fail</v>
      </c>
      <c r="G10" s="18" t="str">
        <f t="shared" si="1"/>
        <v>fail</v>
      </c>
      <c r="H10" t="str">
        <f t="shared" si="2"/>
        <v>fail</v>
      </c>
      <c r="I10" t="b">
        <f>G2&lt;&gt;"fail"</f>
        <v>1</v>
      </c>
    </row>
    <row r="11" spans="1:9" x14ac:dyDescent="0.3">
      <c r="A11">
        <v>110</v>
      </c>
      <c r="B11" t="s">
        <v>13</v>
      </c>
      <c r="C11">
        <v>90</v>
      </c>
      <c r="D11">
        <v>99</v>
      </c>
      <c r="E11">
        <v>88</v>
      </c>
      <c r="F11" t="str">
        <f t="shared" si="0"/>
        <v>Pass</v>
      </c>
      <c r="G11" s="18">
        <f t="shared" si="1"/>
        <v>0.92333333333333334</v>
      </c>
      <c r="H11" t="str">
        <f>IF(F11="pass",IF(G11&gt;90%,"A+",IF(G11&gt;80%,"A",IF(G11&gt;70%,"B+",IF(G11&gt;60%,"B","C")))),F11)</f>
        <v>A+</v>
      </c>
    </row>
  </sheetData>
  <conditionalFormatting sqref="A1:H1">
    <cfRule type="expression" dxfId="5" priority="4">
      <formula>$G2&gt;90</formula>
    </cfRule>
  </conditionalFormatting>
  <conditionalFormatting sqref="A2:H11">
    <cfRule type="expression" dxfId="4" priority="3">
      <formula>AND($G2&gt;90%,$G2&lt;&gt;"fail")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SHAH</dc:creator>
  <cp:lastModifiedBy>SAUMYA SHAH</cp:lastModifiedBy>
  <dcterms:created xsi:type="dcterms:W3CDTF">2026-06-13T05:38:54Z</dcterms:created>
  <dcterms:modified xsi:type="dcterms:W3CDTF">2026-10-02T08:43:32Z</dcterms:modified>
</cp:coreProperties>
</file>